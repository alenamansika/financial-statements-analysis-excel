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4CADF5D-3C0F-4956-8634-FAF3E156695F}" xr6:coauthVersionLast="47" xr6:coauthVersionMax="47" xr10:uidLastSave="{00000000-0000-0000-0000-000000000000}"/>
  <bookViews>
    <workbookView xWindow="-108" yWindow="-108" windowWidth="23256" windowHeight="12456" firstSheet="2" activeTab="3" xr2:uid="{BF7F3FE8-8523-4FB9-8A75-D59D7B871F97}"/>
  </bookViews>
  <sheets>
    <sheet name="Financial Data" sheetId="1" r:id="rId1"/>
    <sheet name="Data Cleaning" sheetId="2" r:id="rId2"/>
    <sheet name="Staging KPI" sheetId="3" r:id="rId3"/>
    <sheet name="Dashboard" sheetId="4" r:id="rId4"/>
  </sheets>
  <definedNames>
    <definedName name="_xlnm._FilterDatabase" localSheetId="0" hidden="1">'Data Cleaning'!$A$1:$Z$162</definedName>
    <definedName name="_xlchart.v5.0" hidden="1">'Staging KPI'!$E$9:$E$13</definedName>
    <definedName name="_xlchart.v5.1" hidden="1">'Staging KPI'!$F$9:$F$13</definedName>
    <definedName name="_xlnm.Print_Area" localSheetId="3">Dashboard!$A:$U</definedName>
    <definedName name="Slicer_Category">#N/A</definedName>
    <definedName name="Slicer_Company">#N/A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3" l="1"/>
  <c r="F10" i="3"/>
  <c r="F11" i="3"/>
  <c r="F13" i="3"/>
  <c r="F9" i="3"/>
  <c r="Y1" i="1"/>
  <c r="X2" i="2"/>
  <c r="Y2" i="2"/>
  <c r="Z2" i="2" s="1"/>
  <c r="X3" i="2"/>
  <c r="Y3" i="2"/>
  <c r="X4" i="2"/>
  <c r="Y4" i="2"/>
  <c r="X5" i="2"/>
  <c r="Z5" i="2" s="1"/>
  <c r="Y5" i="2"/>
  <c r="X6" i="2"/>
  <c r="Y6" i="2"/>
  <c r="X7" i="2"/>
  <c r="Y7" i="2"/>
  <c r="X8" i="2"/>
  <c r="Y8" i="2"/>
  <c r="X9" i="2"/>
  <c r="Y9" i="2"/>
  <c r="X10" i="2"/>
  <c r="Z10" i="2" s="1"/>
  <c r="Y10" i="2"/>
  <c r="X11" i="2"/>
  <c r="Y11" i="2"/>
  <c r="X12" i="2"/>
  <c r="Y12" i="2"/>
  <c r="X13" i="2"/>
  <c r="Y13" i="2"/>
  <c r="X14" i="2"/>
  <c r="Y14" i="2"/>
  <c r="Z14" i="2"/>
  <c r="X15" i="2"/>
  <c r="Y15" i="2"/>
  <c r="X16" i="2"/>
  <c r="Y16" i="2"/>
  <c r="X17" i="2"/>
  <c r="Y17" i="2"/>
  <c r="Z17" i="2" s="1"/>
  <c r="X18" i="2"/>
  <c r="Y18" i="2"/>
  <c r="Z18" i="2" s="1"/>
  <c r="X19" i="2"/>
  <c r="Y19" i="2"/>
  <c r="X20" i="2"/>
  <c r="Y20" i="2"/>
  <c r="X21" i="2"/>
  <c r="Y21" i="2"/>
  <c r="X22" i="2"/>
  <c r="Z22" i="2" s="1"/>
  <c r="Y22" i="2"/>
  <c r="X23" i="2"/>
  <c r="Y23" i="2"/>
  <c r="X24" i="2"/>
  <c r="Y24" i="2"/>
  <c r="Z24" i="2" s="1"/>
  <c r="X25" i="2"/>
  <c r="Y25" i="2"/>
  <c r="X26" i="2"/>
  <c r="Y26" i="2"/>
  <c r="X27" i="2"/>
  <c r="Y27" i="2"/>
  <c r="X28" i="2"/>
  <c r="Y28" i="2"/>
  <c r="X29" i="2"/>
  <c r="Y29" i="2"/>
  <c r="X30" i="2"/>
  <c r="Y30" i="2"/>
  <c r="X31" i="2"/>
  <c r="Z31" i="2" s="1"/>
  <c r="Y31" i="2"/>
  <c r="X32" i="2"/>
  <c r="Y32" i="2"/>
  <c r="X33" i="2"/>
  <c r="Z33" i="2" s="1"/>
  <c r="Y33" i="2"/>
  <c r="X34" i="2"/>
  <c r="Y34" i="2"/>
  <c r="Z34" i="2" s="1"/>
  <c r="X35" i="2"/>
  <c r="Y35" i="2"/>
  <c r="X36" i="2"/>
  <c r="Y36" i="2"/>
  <c r="X37" i="2"/>
  <c r="Z37" i="2" s="1"/>
  <c r="Y37" i="2"/>
  <c r="X38" i="2"/>
  <c r="Y38" i="2"/>
  <c r="Z38" i="2"/>
  <c r="X39" i="2"/>
  <c r="Y39" i="2"/>
  <c r="X40" i="2"/>
  <c r="Y40" i="2"/>
  <c r="Z40" i="2" s="1"/>
  <c r="X41" i="2"/>
  <c r="Y41" i="2"/>
  <c r="Z41" i="2" s="1"/>
  <c r="X42" i="2"/>
  <c r="Z42" i="2" s="1"/>
  <c r="Y42" i="2"/>
  <c r="X43" i="2"/>
  <c r="Y43" i="2"/>
  <c r="X44" i="2"/>
  <c r="Y44" i="2"/>
  <c r="X45" i="2"/>
  <c r="Y45" i="2"/>
  <c r="X46" i="2"/>
  <c r="Z46" i="2" s="1"/>
  <c r="Y46" i="2"/>
  <c r="X47" i="2"/>
  <c r="Y47" i="2"/>
  <c r="Z47" i="2"/>
  <c r="X48" i="2"/>
  <c r="Y48" i="2"/>
  <c r="X49" i="2"/>
  <c r="Z49" i="2" s="1"/>
  <c r="Y49" i="2"/>
  <c r="X50" i="2"/>
  <c r="Y50" i="2"/>
  <c r="X51" i="2"/>
  <c r="Y51" i="2"/>
  <c r="X52" i="2"/>
  <c r="Y52" i="2"/>
  <c r="X53" i="2"/>
  <c r="Z53" i="2" s="1"/>
  <c r="Y53" i="2"/>
  <c r="X54" i="2"/>
  <c r="Y54" i="2"/>
  <c r="Z54" i="2"/>
  <c r="X55" i="2"/>
  <c r="Y55" i="2"/>
  <c r="X56" i="2"/>
  <c r="Y56" i="2"/>
  <c r="X57" i="2"/>
  <c r="Y57" i="2"/>
  <c r="X58" i="2"/>
  <c r="Z58" i="2" s="1"/>
  <c r="Y58" i="2"/>
  <c r="X59" i="2"/>
  <c r="Y59" i="2"/>
  <c r="X60" i="2"/>
  <c r="Z60" i="2" s="1"/>
  <c r="Y60" i="2"/>
  <c r="X61" i="2"/>
  <c r="Y61" i="2"/>
  <c r="X62" i="2"/>
  <c r="Z62" i="2" s="1"/>
  <c r="Y62" i="2"/>
  <c r="X63" i="2"/>
  <c r="Z63" i="2" s="1"/>
  <c r="Y63" i="2"/>
  <c r="X64" i="2"/>
  <c r="Y64" i="2"/>
  <c r="X65" i="2"/>
  <c r="Z65" i="2" s="1"/>
  <c r="Y65" i="2"/>
  <c r="X66" i="2"/>
  <c r="Y66" i="2"/>
  <c r="Z66" i="2" s="1"/>
  <c r="X67" i="2"/>
  <c r="Y67" i="2"/>
  <c r="X68" i="2"/>
  <c r="Y68" i="2"/>
  <c r="X69" i="2"/>
  <c r="Z69" i="2" s="1"/>
  <c r="Y69" i="2"/>
  <c r="X70" i="2"/>
  <c r="Y70" i="2"/>
  <c r="X71" i="2"/>
  <c r="Y71" i="2"/>
  <c r="X72" i="2"/>
  <c r="Y72" i="2"/>
  <c r="Z72" i="2" s="1"/>
  <c r="X73" i="2"/>
  <c r="Y73" i="2"/>
  <c r="X74" i="2"/>
  <c r="Y74" i="2"/>
  <c r="Z74" i="2"/>
  <c r="X75" i="2"/>
  <c r="Y75" i="2"/>
  <c r="X76" i="2"/>
  <c r="Y76" i="2"/>
  <c r="X77" i="2"/>
  <c r="Y77" i="2"/>
  <c r="X78" i="2"/>
  <c r="Z78" i="2" s="1"/>
  <c r="Y78" i="2"/>
  <c r="X79" i="2"/>
  <c r="Y79" i="2"/>
  <c r="Z79" i="2"/>
  <c r="X80" i="2"/>
  <c r="Y80" i="2"/>
  <c r="X81" i="2"/>
  <c r="Z81" i="2" s="1"/>
  <c r="Y81" i="2"/>
  <c r="X82" i="2"/>
  <c r="Y82" i="2"/>
  <c r="X83" i="2"/>
  <c r="Y83" i="2"/>
  <c r="X84" i="2"/>
  <c r="Y84" i="2"/>
  <c r="X85" i="2"/>
  <c r="Y85" i="2"/>
  <c r="Z85" i="2"/>
  <c r="X86" i="2"/>
  <c r="Z86" i="2" s="1"/>
  <c r="Y86" i="2"/>
  <c r="X87" i="2"/>
  <c r="Y87" i="2"/>
  <c r="X88" i="2"/>
  <c r="Z88" i="2" s="1"/>
  <c r="Y88" i="2"/>
  <c r="X89" i="2"/>
  <c r="Y89" i="2"/>
  <c r="Z89" i="2" s="1"/>
  <c r="X90" i="2"/>
  <c r="Z90" i="2" s="1"/>
  <c r="Y90" i="2"/>
  <c r="X91" i="2"/>
  <c r="Y91" i="2"/>
  <c r="X92" i="2"/>
  <c r="Y92" i="2"/>
  <c r="X93" i="2"/>
  <c r="Y93" i="2"/>
  <c r="X94" i="2"/>
  <c r="Z94" i="2" s="1"/>
  <c r="Y94" i="2"/>
  <c r="X95" i="2"/>
  <c r="Y95" i="2"/>
  <c r="X96" i="2"/>
  <c r="Y96" i="2"/>
  <c r="X97" i="2"/>
  <c r="Y97" i="2"/>
  <c r="X98" i="2"/>
  <c r="Y98" i="2"/>
  <c r="Z98" i="2" s="1"/>
  <c r="X99" i="2"/>
  <c r="Y99" i="2"/>
  <c r="X100" i="2"/>
  <c r="Y100" i="2"/>
  <c r="X101" i="2"/>
  <c r="Z101" i="2" s="1"/>
  <c r="Y101" i="2"/>
  <c r="X102" i="2"/>
  <c r="Y102" i="2"/>
  <c r="X103" i="2"/>
  <c r="Y103" i="2"/>
  <c r="X104" i="2"/>
  <c r="Y104" i="2"/>
  <c r="Z104" i="2" s="1"/>
  <c r="X105" i="2"/>
  <c r="Y105" i="2"/>
  <c r="X106" i="2"/>
  <c r="Z106" i="2" s="1"/>
  <c r="Y106" i="2"/>
  <c r="X107" i="2"/>
  <c r="Y107" i="2"/>
  <c r="X108" i="2"/>
  <c r="Y108" i="2"/>
  <c r="X109" i="2"/>
  <c r="Y109" i="2"/>
  <c r="X110" i="2"/>
  <c r="Z110" i="2" s="1"/>
  <c r="Y110" i="2"/>
  <c r="X111" i="2"/>
  <c r="Y111" i="2"/>
  <c r="Z111" i="2"/>
  <c r="X112" i="2"/>
  <c r="Y112" i="2"/>
  <c r="X113" i="2"/>
  <c r="Z113" i="2" s="1"/>
  <c r="Y113" i="2"/>
  <c r="X114" i="2"/>
  <c r="Y114" i="2"/>
  <c r="Z114" i="2" s="1"/>
  <c r="X115" i="2"/>
  <c r="Y115" i="2"/>
  <c r="X116" i="2"/>
  <c r="Y116" i="2"/>
  <c r="X117" i="2"/>
  <c r="Y117" i="2"/>
  <c r="X118" i="2"/>
  <c r="Y118" i="2"/>
  <c r="Z118" i="2"/>
  <c r="X119" i="2"/>
  <c r="Y119" i="2"/>
  <c r="X120" i="2"/>
  <c r="Y120" i="2"/>
  <c r="X121" i="2"/>
  <c r="Y121" i="2"/>
  <c r="Z121" i="2" s="1"/>
  <c r="X122" i="2"/>
  <c r="Y122" i="2"/>
  <c r="X123" i="2"/>
  <c r="Y123" i="2"/>
  <c r="X124" i="2"/>
  <c r="Y124" i="2"/>
  <c r="X125" i="2"/>
  <c r="Y125" i="2"/>
  <c r="X126" i="2"/>
  <c r="Y126" i="2"/>
  <c r="Z126" i="2"/>
  <c r="X127" i="2"/>
  <c r="Y127" i="2"/>
  <c r="Z127" i="2"/>
  <c r="X128" i="2"/>
  <c r="Y128" i="2"/>
  <c r="X129" i="2"/>
  <c r="Y129" i="2"/>
  <c r="Z129" i="2"/>
  <c r="X130" i="2"/>
  <c r="Y130" i="2"/>
  <c r="X131" i="2"/>
  <c r="Y131" i="2"/>
  <c r="X132" i="2"/>
  <c r="Y132" i="2"/>
  <c r="X133" i="2"/>
  <c r="Y133" i="2"/>
  <c r="X134" i="2"/>
  <c r="Y134" i="2"/>
  <c r="Z134" i="2"/>
  <c r="X135" i="2"/>
  <c r="Y135" i="2"/>
  <c r="X136" i="2"/>
  <c r="Y136" i="2"/>
  <c r="Z136" i="2"/>
  <c r="X137" i="2"/>
  <c r="Y137" i="2"/>
  <c r="Z137" i="2" s="1"/>
  <c r="X138" i="2"/>
  <c r="Z138" i="2" s="1"/>
  <c r="Y138" i="2"/>
  <c r="X139" i="2"/>
  <c r="Y139" i="2"/>
  <c r="X140" i="2"/>
  <c r="Y140" i="2"/>
  <c r="X141" i="2"/>
  <c r="Y141" i="2"/>
  <c r="X142" i="2"/>
  <c r="Y142" i="2"/>
  <c r="X143" i="2"/>
  <c r="Y143" i="2"/>
  <c r="X144" i="2"/>
  <c r="Y144" i="2"/>
  <c r="X145" i="2"/>
  <c r="Y145" i="2"/>
  <c r="Z145" i="2"/>
  <c r="X146" i="2"/>
  <c r="Y146" i="2"/>
  <c r="X147" i="2"/>
  <c r="Y147" i="2"/>
  <c r="X148" i="2"/>
  <c r="Y148" i="2"/>
  <c r="X149" i="2"/>
  <c r="Z149" i="2" s="1"/>
  <c r="Y149" i="2"/>
  <c r="X150" i="2"/>
  <c r="Y150" i="2"/>
  <c r="X151" i="2"/>
  <c r="Y151" i="2"/>
  <c r="X152" i="2"/>
  <c r="Y152" i="2"/>
  <c r="Z152" i="2"/>
  <c r="X153" i="2"/>
  <c r="Y153" i="2"/>
  <c r="Z153" i="2" s="1"/>
  <c r="X154" i="2"/>
  <c r="Y154" i="2"/>
  <c r="X155" i="2"/>
  <c r="Y155" i="2"/>
  <c r="X156" i="2"/>
  <c r="Y156" i="2"/>
  <c r="X157" i="2"/>
  <c r="Y157" i="2"/>
  <c r="X158" i="2"/>
  <c r="Z158" i="2" s="1"/>
  <c r="Y158" i="2"/>
  <c r="X159" i="2"/>
  <c r="Y159" i="2"/>
  <c r="X160" i="2"/>
  <c r="Y160" i="2"/>
  <c r="X161" i="2"/>
  <c r="Y161" i="2"/>
  <c r="X162" i="2"/>
  <c r="Y162" i="2"/>
  <c r="AC2" i="2"/>
  <c r="AC3" i="2"/>
  <c r="Z117" i="2" l="1"/>
  <c r="Z95" i="2"/>
  <c r="Z23" i="2"/>
  <c r="Z159" i="2"/>
  <c r="Z102" i="2"/>
  <c r="Z8" i="2"/>
  <c r="Z116" i="2"/>
  <c r="Z109" i="2"/>
  <c r="Z80" i="2"/>
  <c r="Z73" i="2"/>
  <c r="Z30" i="2"/>
  <c r="Z15" i="2"/>
  <c r="Z115" i="2"/>
  <c r="Z150" i="2"/>
  <c r="Z143" i="2"/>
  <c r="Z122" i="2"/>
  <c r="Z21" i="2"/>
  <c r="Z6" i="2"/>
  <c r="Z100" i="2"/>
  <c r="Z28" i="2"/>
  <c r="Z142" i="2"/>
  <c r="Z135" i="2"/>
  <c r="Z128" i="2"/>
  <c r="Z56" i="2"/>
  <c r="Z35" i="2"/>
  <c r="Z13" i="2"/>
  <c r="AC4" i="2"/>
  <c r="Z120" i="2"/>
  <c r="Z84" i="2"/>
  <c r="Z70" i="2"/>
  <c r="Z162" i="2"/>
  <c r="Z155" i="2"/>
  <c r="Z148" i="2"/>
  <c r="Z105" i="2"/>
  <c r="Z55" i="2"/>
  <c r="Z48" i="2"/>
  <c r="Z26" i="2"/>
  <c r="Z25" i="2"/>
  <c r="Z154" i="2"/>
  <c r="Z133" i="2"/>
  <c r="Z97" i="2"/>
  <c r="Z76" i="2"/>
  <c r="Z29" i="2"/>
  <c r="Z161" i="2"/>
  <c r="Z75" i="2"/>
  <c r="Z141" i="2"/>
  <c r="Z108" i="2"/>
  <c r="Z68" i="2"/>
  <c r="Z160" i="2"/>
  <c r="Z147" i="2"/>
  <c r="Z61" i="2"/>
  <c r="Z27" i="2"/>
  <c r="Z7" i="2"/>
  <c r="Z146" i="2"/>
  <c r="Z140" i="2"/>
  <c r="Z107" i="2"/>
  <c r="Z87" i="2"/>
  <c r="Z67" i="2"/>
  <c r="Z20" i="2"/>
  <c r="Z151" i="2"/>
  <c r="Z125" i="2"/>
  <c r="Z45" i="2"/>
  <c r="Z11" i="2"/>
  <c r="Z139" i="2"/>
  <c r="Z93" i="2"/>
  <c r="Z39" i="2"/>
  <c r="Z19" i="2"/>
  <c r="Z132" i="2"/>
  <c r="Z112" i="2"/>
  <c r="Z92" i="2"/>
  <c r="Z52" i="2"/>
  <c r="Z144" i="2"/>
  <c r="Z131" i="2"/>
  <c r="Z91" i="2"/>
  <c r="Z71" i="2"/>
  <c r="Z51" i="2"/>
  <c r="Z32" i="2"/>
  <c r="Z157" i="2"/>
  <c r="Z130" i="2"/>
  <c r="Z124" i="2"/>
  <c r="Z64" i="2"/>
  <c r="Z57" i="2"/>
  <c r="Z50" i="2"/>
  <c r="Z44" i="2"/>
  <c r="Z4" i="2"/>
  <c r="Z12" i="2"/>
  <c r="Z156" i="2"/>
  <c r="Z123" i="2"/>
  <c r="Z103" i="2"/>
  <c r="Z77" i="2"/>
  <c r="Z43" i="2"/>
  <c r="Z16" i="2"/>
  <c r="Z3" i="2"/>
  <c r="Z96" i="2"/>
  <c r="Z83" i="2"/>
  <c r="Z36" i="2"/>
  <c r="Z9" i="2"/>
  <c r="Z119" i="2"/>
  <c r="Z99" i="2"/>
  <c r="Z59" i="2"/>
  <c r="Z82" i="2"/>
</calcChain>
</file>

<file path=xl/sharedStrings.xml><?xml version="1.0" encoding="utf-8"?>
<sst xmlns="http://schemas.openxmlformats.org/spreadsheetml/2006/main" count="747" uniqueCount="64">
  <si>
    <t>Year</t>
  </si>
  <si>
    <t xml:space="preserve">Company </t>
  </si>
  <si>
    <t>Category</t>
  </si>
  <si>
    <t>Market Cap(in B USD)</t>
  </si>
  <si>
    <t>Revenue</t>
  </si>
  <si>
    <t>Gross Profit</t>
  </si>
  <si>
    <t>Net Income</t>
  </si>
  <si>
    <t>Earning Per Share</t>
  </si>
  <si>
    <t>EBITDA</t>
  </si>
  <si>
    <t>Share Holder Equity</t>
  </si>
  <si>
    <t>Cash Flow from Operating</t>
  </si>
  <si>
    <t>Cash Flow from Investing</t>
  </si>
  <si>
    <t>Cash Flow from Financial Activities</t>
  </si>
  <si>
    <t>Current Ratio</t>
  </si>
  <si>
    <t>Debt/Equity Ratio</t>
  </si>
  <si>
    <t>ROE</t>
  </si>
  <si>
    <t>ROA</t>
  </si>
  <si>
    <t>ROI</t>
  </si>
  <si>
    <t>Net Profit Margin</t>
  </si>
  <si>
    <t>Free Cash Flow per Share</t>
  </si>
  <si>
    <t>Return on Tangible Equity</t>
  </si>
  <si>
    <t>Number of Employees</t>
  </si>
  <si>
    <t>Inflation Rate(in US)</t>
  </si>
  <si>
    <t>AAPL</t>
  </si>
  <si>
    <t>IT</t>
  </si>
  <si>
    <t>MSFT</t>
  </si>
  <si>
    <t>GOOG</t>
  </si>
  <si>
    <t>PYPL</t>
  </si>
  <si>
    <t>FinTech</t>
  </si>
  <si>
    <t>AIG</t>
  </si>
  <si>
    <t>Bank</t>
  </si>
  <si>
    <t>PCG</t>
  </si>
  <si>
    <t>Manufacturing</t>
  </si>
  <si>
    <t>SHLDQ</t>
  </si>
  <si>
    <t>Finance</t>
  </si>
  <si>
    <t>MCD</t>
  </si>
  <si>
    <t>FOOD</t>
  </si>
  <si>
    <t>BCS</t>
  </si>
  <si>
    <t>BANK</t>
  </si>
  <si>
    <t>NVDA</t>
  </si>
  <si>
    <t>ELEC</t>
  </si>
  <si>
    <t>INTC</t>
  </si>
  <si>
    <t>AMZN</t>
  </si>
  <si>
    <t>LOGI</t>
  </si>
  <si>
    <t>COGS</t>
  </si>
  <si>
    <t>OPEX_Other</t>
  </si>
  <si>
    <t>null check</t>
  </si>
  <si>
    <t>Average</t>
  </si>
  <si>
    <t>Median</t>
  </si>
  <si>
    <t>PYPL Market Cap</t>
  </si>
  <si>
    <t>Difference</t>
  </si>
  <si>
    <t>Ganti nilai Market Cap PYPL baris 5 dengan nilai median</t>
  </si>
  <si>
    <t>Values</t>
  </si>
  <si>
    <t>Row Labels</t>
  </si>
  <si>
    <t>Grand Total</t>
  </si>
  <si>
    <t>Total Revenue</t>
  </si>
  <si>
    <t>Total Net Income</t>
  </si>
  <si>
    <t xml:space="preserve">Total Revenue </t>
  </si>
  <si>
    <t>Total Net income</t>
  </si>
  <si>
    <t>Total</t>
  </si>
  <si>
    <t>Total COGS</t>
  </si>
  <si>
    <t>Total Gross Profit</t>
  </si>
  <si>
    <t>Total OPEX_Others</t>
  </si>
  <si>
    <t>Total Net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</si>
</sst>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0_-;\-* #,##0.0_-;_-* &quot;-&quot;??_-;_-@_-"/>
    <numFmt numFmtId="165" formatCode="0.0&quot;%&quot;"/>
    <numFmt numFmtId="166" formatCode="\$#,##0;\-\$#,##0;&quot;-&quot;"/>
    <numFmt numFmtId="167" formatCode="&quot;$ &quot;#,##0;\-\$#,##0;&quot;-&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64" fontId="0" fillId="0" borderId="0" xfId="1" applyNumberFormat="1" applyFont="1"/>
    <xf numFmtId="2" fontId="0" fillId="0" borderId="0" xfId="2" applyNumberFormat="1" applyFont="1"/>
    <xf numFmtId="3" fontId="0" fillId="0" borderId="0" xfId="1" applyNumberFormat="1" applyFont="1"/>
    <xf numFmtId="3" fontId="0" fillId="0" borderId="0" xfId="0" applyNumberFormat="1"/>
    <xf numFmtId="4" fontId="0" fillId="0" borderId="0" xfId="0" applyNumberFormat="1"/>
    <xf numFmtId="43" fontId="0" fillId="0" borderId="0" xfId="1" applyFont="1"/>
    <xf numFmtId="4" fontId="0" fillId="0" borderId="0" xfId="2" applyNumberFormat="1" applyFont="1"/>
    <xf numFmtId="3" fontId="0" fillId="33" borderId="0" xfId="0" applyNumberFormat="1" applyFill="1"/>
    <xf numFmtId="0" fontId="0" fillId="33" borderId="0" xfId="0" applyFill="1"/>
    <xf numFmtId="4" fontId="0" fillId="33" borderId="0" xfId="0" applyNumberFormat="1" applyFill="1"/>
    <xf numFmtId="0" fontId="0" fillId="0" borderId="0" xfId="0" applyAlignment="1">
      <alignment vertical="center"/>
    </xf>
    <xf numFmtId="4" fontId="0" fillId="0" borderId="0" xfId="0" applyNumberFormat="1" applyAlignment="1">
      <alignment vertical="center"/>
    </xf>
    <xf numFmtId="3" fontId="0" fillId="0" borderId="0" xfId="1" applyNumberFormat="1" applyFont="1" applyAlignment="1">
      <alignment vertical="center"/>
    </xf>
    <xf numFmtId="3" fontId="0" fillId="0" borderId="0" xfId="0" applyNumberFormat="1" applyAlignment="1">
      <alignment vertical="center"/>
    </xf>
    <xf numFmtId="43" fontId="0" fillId="0" borderId="0" xfId="1" applyFont="1" applyAlignment="1">
      <alignment vertical="center"/>
    </xf>
    <xf numFmtId="4" fontId="0" fillId="0" borderId="0" xfId="2" applyNumberFormat="1" applyFont="1" applyAlignment="1">
      <alignment vertical="center"/>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34" borderId="0" xfId="0" applyFill="1"/>
    <xf numFmtId="0" fontId="16" fillId="26" borderId="0" xfId="37" applyFont="1" applyAlignment="1">
      <alignment horizontal="center" vertical="center" wrapText="1"/>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74">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7" formatCode="&quot;$ &quot;#,##0;\-\$#,##0;&quot;-&quot;"/>
    </dxf>
    <dxf>
      <numFmt numFmtId="167" formatCode="&quot;$ &quot;#,##0;\-\$#,##0;&quot;-&quot;"/>
    </dxf>
    <dxf>
      <alignment horizontal="left"/>
    </dxf>
    <dxf>
      <alignment horizontal="left"/>
    </dxf>
    <dxf>
      <alignment horizontal="left"/>
    </dxf>
    <dxf>
      <numFmt numFmtId="166" formatCode="\$#,##0;\-\$#,##0;&quot;-&quot;"/>
    </dxf>
    <dxf>
      <numFmt numFmtId="167" formatCode="&quot;$ &quot;#,##0;\-\$#,##0;&quot;-&quot;"/>
    </dxf>
    <dxf>
      <numFmt numFmtId="168" formatCode="&quot;$ &quot;#,##0.00,,\ &quot;B&quot;"/>
    </dxf>
    <dxf>
      <numFmt numFmtId="168" formatCode="&quot;$ &quot;#,##0.00,,\ &quot;B&quot;"/>
    </dxf>
    <dxf>
      <numFmt numFmtId="167" formatCode="&quot;$ &quot;#,##0;\-\$#,##0;&quot;-&quot;"/>
    </dxf>
    <dxf>
      <numFmt numFmtId="169" formatCode="\$#,##0.0,,&quot;M&quot;"/>
    </dxf>
    <dxf>
      <numFmt numFmtId="167" formatCode="&quot;$ &quot;#,##0;\-\$#,##0;&quot;-&quot;"/>
    </dxf>
    <dxf>
      <numFmt numFmtId="165" formatCode="0.0&quot;%&quot;"/>
    </dxf>
    <dxf>
      <numFmt numFmtId="167" formatCode="&quot;$ &quot;#,##0;\-\$#,##0;&quot;-&quot;"/>
    </dxf>
    <dxf>
      <numFmt numFmtId="166" formatCode="\$#,##0;\-\$#,##0;&quot;-&quot;"/>
    </dxf>
    <dxf>
      <alignment horizontal="left"/>
    </dxf>
    <dxf>
      <alignment horizontal="left"/>
    </dxf>
    <dxf>
      <alignment horizontal="left"/>
    </dxf>
    <dxf>
      <numFmt numFmtId="167" formatCode="&quot;$ &quot;#,##0;\-\$#,##0;&quot;-&quot;"/>
    </dxf>
    <dxf>
      <numFmt numFmtId="168" formatCode="&quot;$ &quot;#,##0.00,,\ &quot;B&quot;"/>
    </dxf>
    <dxf>
      <numFmt numFmtId="168" formatCode="&quot;$ &quot;#,##0.00,,\ &quot;B&quot;"/>
    </dxf>
    <dxf>
      <numFmt numFmtId="165" formatCode="0.0&quot;%&quot;"/>
    </dxf>
    <dxf>
      <numFmt numFmtId="167" formatCode="&quot;$ &quot;#,##0;\-\$#,##0;&quot;-&quot;"/>
    </dxf>
    <dxf>
      <numFmt numFmtId="169" formatCode="\$#,##0.0,,&quot;M&quot;"/>
    </dxf>
    <dxf>
      <numFmt numFmtId="167" formatCode="&quot;$ &quot;#,##0;\-\$#,##0;&quot;-&quot;"/>
    </dxf>
    <dxf>
      <numFmt numFmtId="167" formatCode="&quot;$ &quot;#,##0;\-\$#,##0;&quot;-&quot;"/>
    </dxf>
    <dxf>
      <numFmt numFmtId="167" formatCode="&quot;$ &quot;#,##0;\-\$#,##0;&quot;-&quot;"/>
    </dxf>
    <dxf>
      <font>
        <color theme="0"/>
      </font>
      <fill>
        <patternFill>
          <fgColor rgb="FF182B49"/>
        </patternFill>
      </fill>
      <border diagonalUp="1">
        <left style="thin">
          <color rgb="FF182B49"/>
        </left>
        <right style="thin">
          <color rgb="FF182B49"/>
        </right>
        <top style="thin">
          <color rgb="FF182B49"/>
        </top>
        <bottom style="thin">
          <color rgb="FF182B49"/>
        </bottom>
        <diagonal style="thin">
          <color rgb="FF182B49"/>
        </diagonal>
        <vertical/>
        <horizontal/>
      </border>
    </dxf>
    <dxf>
      <font>
        <color theme="0"/>
      </font>
      <fill>
        <patternFill>
          <fgColor rgb="FF182B49"/>
        </patternFill>
      </fill>
      <border>
        <left style="thin">
          <color rgb="FF182B49"/>
        </left>
        <right style="thin">
          <color rgb="FF182B49"/>
        </right>
        <top style="thin">
          <color rgb="FF182B49"/>
        </top>
        <bottom style="thin">
          <color rgb="FF182B49"/>
        </bottom>
        <vertical/>
        <horizontal/>
      </border>
    </dxf>
    <dxf>
      <font>
        <color theme="0"/>
      </font>
      <fill>
        <patternFill>
          <fgColor rgb="FF182B49"/>
          <bgColor rgb="FF182B49"/>
        </patternFill>
      </fill>
      <border>
        <left style="thin">
          <color rgb="FF182B49"/>
        </left>
        <right style="thin">
          <color rgb="FF182B49"/>
        </right>
        <top style="thin">
          <color rgb="FF182B49"/>
        </top>
        <bottom style="thin">
          <color rgb="FF182B49"/>
        </bottom>
        <vertical/>
        <horizontal/>
      </border>
    </dxf>
    <dxf>
      <font>
        <color theme="0"/>
      </font>
      <fill>
        <patternFill>
          <fgColor rgb="FF182B49"/>
          <bgColor rgb="FF182B49"/>
        </patternFill>
      </fill>
      <border diagonalUp="1">
        <left style="thin">
          <color rgb="FF182B49"/>
        </left>
        <right style="thin">
          <color rgb="FF182B49"/>
        </right>
        <top style="thin">
          <color rgb="FF182B49"/>
        </top>
        <bottom style="thin">
          <color rgb="FF182B49"/>
        </bottom>
        <diagonal style="thin">
          <color rgb="FF182B49"/>
        </diagonal>
        <vertical/>
        <horizontal/>
      </border>
    </dxf>
    <dxf>
      <font>
        <color theme="0"/>
      </font>
      <fill>
        <patternFill>
          <fgColor rgb="FF002060"/>
          <bgColor rgb="FF002060"/>
        </patternFill>
      </fill>
      <border>
        <left style="thin">
          <color rgb="FF182B49"/>
        </left>
        <right style="thin">
          <color rgb="FF182B49"/>
        </right>
        <top style="thin">
          <color rgb="FF182B49"/>
        </top>
        <bottom style="thin">
          <color rgb="FF182B49"/>
        </bottom>
        <vertical/>
        <horizontal/>
      </border>
    </dxf>
    <dxf>
      <font>
        <color theme="0"/>
      </font>
      <fill>
        <patternFill>
          <fgColor rgb="FF002060"/>
          <bgColor rgb="FF002060"/>
        </patternFill>
      </fill>
      <border diagonalUp="1">
        <left style="thin">
          <color rgb="FF002060"/>
        </left>
        <right style="thin">
          <color rgb="FF002060"/>
        </right>
        <top style="thin">
          <color rgb="FF002060"/>
        </top>
        <bottom style="thin">
          <color rgb="FF002060"/>
        </bottom>
        <diagonal style="thin">
          <color rgb="FF002060"/>
        </diagonal>
        <vertical/>
        <horizontal/>
      </border>
    </dxf>
  </dxfs>
  <tableStyles count="3" defaultTableStyle="TableStyleMedium2" defaultPivotStyle="PivotStyleLight16">
    <tableStyle name="CobaCoba" pivot="0" table="0" count="10" xr9:uid="{AA5EFDAD-A150-4FEF-9215-A73007E69697}">
      <tableStyleElement type="wholeTable" dxfId="173"/>
      <tableStyleElement type="headerRow" dxfId="172"/>
    </tableStyle>
    <tableStyle name="Financial" pivot="0" table="0" count="10" xr9:uid="{293D7007-289D-4B93-8168-3064546B1E9C}">
      <tableStyleElement type="wholeTable" dxfId="171"/>
      <tableStyleElement type="headerRow" dxfId="170"/>
    </tableStyle>
    <tableStyle name="Financial2" pivot="0" table="0" count="10" xr9:uid="{E1883DF8-DAA4-4092-9D61-7B4E65C7DFA9}">
      <tableStyleElement type="wholeTable" dxfId="169"/>
      <tableStyleElement type="headerRow" dxfId="168"/>
    </tableStyle>
  </tableStyles>
  <colors>
    <mruColors>
      <color rgb="FF002060"/>
      <color rgb="FFD6CAE3"/>
      <color rgb="FFE1DAEB"/>
      <color rgb="FF182B49"/>
      <color rgb="FFEEE6D7"/>
      <color rgb="FFD3E3F0"/>
      <color rgb="FF568267"/>
      <color rgb="FFB08759"/>
      <color rgb="FF627385"/>
      <color rgb="FFD4E6D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rgb="FFD3E3F0"/>
              <bgColor rgb="FFD3E3F0"/>
            </patternFill>
          </fill>
          <border diagonalUp="1">
            <left style="thin">
              <color rgb="FFD3E3F0"/>
            </left>
            <right style="thin">
              <color rgb="FFD3E3F0"/>
            </right>
            <top style="thin">
              <color rgb="FFD3E3F0"/>
            </top>
            <bottom style="thin">
              <color rgb="FFD3E3F0"/>
            </bottom>
            <diagonal style="thin">
              <color rgb="FF182B49"/>
            </diagonal>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5" tint="-0.499984740745262"/>
          </font>
          <fill>
            <patternFill patternType="solid">
              <fgColor rgb="FFEEE6D7"/>
              <bgColor rgb="FFEEE6D7"/>
            </patternFill>
          </fill>
          <border>
            <left style="thin">
              <color rgb="FFEEE6D7"/>
            </left>
            <right style="thin">
              <color rgb="FFEEE6D7"/>
            </right>
            <top style="thin">
              <color rgb="FFEEE6D7"/>
            </top>
            <bottom style="thin">
              <color rgb="FFEEE6D7"/>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obaCoba">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Financial">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Financial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[Financial_Statements_Analysis_Dashboard.xlsx]Staging KPI!PivotTable15</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D" sz="1400" b="1" i="0" u="none" strike="noStrike" baseline="0">
                <a:solidFill>
                  <a:schemeClr val="bg1"/>
                </a:solidFill>
              </a:rPr>
              <a:t>Company Performance: Revenue vs Net Income</a:t>
            </a:r>
            <a:endParaRPr lang="en-ID"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238703609936152E-2"/>
          <c:y val="0.13978644598845072"/>
          <c:w val="0.87606271599806307"/>
          <c:h val="0.69936676764698136"/>
        </c:manualLayout>
      </c:layout>
      <c:barChart>
        <c:barDir val="bar"/>
        <c:grouping val="clustered"/>
        <c:varyColors val="0"/>
        <c:ser>
          <c:idx val="0"/>
          <c:order val="0"/>
          <c:tx>
            <c:strRef>
              <c:f>'Staging KPI'!$B$16</c:f>
              <c:strCache>
                <c:ptCount val="1"/>
                <c:pt idx="0">
                  <c:v>Total Revenue</c:v>
                </c:pt>
              </c:strCache>
            </c:strRef>
          </c:tx>
          <c:spPr>
            <a:solidFill>
              <a:schemeClr val="accent6"/>
            </a:solidFill>
            <a:ln>
              <a:noFill/>
            </a:ln>
            <a:effectLst/>
          </c:spPr>
          <c:invertIfNegative val="0"/>
          <c:cat>
            <c:strRef>
              <c:f>'Staging KPI'!$A$17:$A$29</c:f>
              <c:strCache>
                <c:ptCount val="12"/>
                <c:pt idx="0">
                  <c:v>NVDA</c:v>
                </c:pt>
                <c:pt idx="1">
                  <c:v>PYPL</c:v>
                </c:pt>
                <c:pt idx="2">
                  <c:v>PCG</c:v>
                </c:pt>
                <c:pt idx="3">
                  <c:v>MCD</c:v>
                </c:pt>
                <c:pt idx="4">
                  <c:v>SHLDQ</c:v>
                </c:pt>
                <c:pt idx="5">
                  <c:v>BCS</c:v>
                </c:pt>
                <c:pt idx="6">
                  <c:v>AIG</c:v>
                </c:pt>
                <c:pt idx="7">
                  <c:v>INTC</c:v>
                </c:pt>
                <c:pt idx="8">
                  <c:v>GOOG</c:v>
                </c:pt>
                <c:pt idx="9">
                  <c:v>MSFT</c:v>
                </c:pt>
                <c:pt idx="10">
                  <c:v>AMZN</c:v>
                </c:pt>
                <c:pt idx="11">
                  <c:v>AAPL</c:v>
                </c:pt>
              </c:strCache>
            </c:strRef>
          </c:cat>
          <c:val>
            <c:numRef>
              <c:f>'Staging KPI'!$B$17:$B$29</c:f>
              <c:numCache>
                <c:formatCode>"$ "#,##0;\-\$#,##0;"-"</c:formatCode>
                <c:ptCount val="12"/>
                <c:pt idx="0">
                  <c:v>142215.70200000002</c:v>
                </c:pt>
                <c:pt idx="1">
                  <c:v>148775</c:v>
                </c:pt>
                <c:pt idx="2">
                  <c:v>236237</c:v>
                </c:pt>
                <c:pt idx="3">
                  <c:v>338030.2</c:v>
                </c:pt>
                <c:pt idx="4">
                  <c:v>345587</c:v>
                </c:pt>
                <c:pt idx="5">
                  <c:v>515288.82</c:v>
                </c:pt>
                <c:pt idx="6">
                  <c:v>827454</c:v>
                </c:pt>
                <c:pt idx="7">
                  <c:v>834929</c:v>
                </c:pt>
                <c:pt idx="8">
                  <c:v>1556228</c:v>
                </c:pt>
                <c:pt idx="9">
                  <c:v>1668065</c:v>
                </c:pt>
                <c:pt idx="10">
                  <c:v>2635460</c:v>
                </c:pt>
                <c:pt idx="11">
                  <c:v>2965609</c:v>
                </c:pt>
              </c:numCache>
            </c:numRef>
          </c:val>
          <c:extLst>
            <c:ext xmlns:c16="http://schemas.microsoft.com/office/drawing/2014/chart" uri="{C3380CC4-5D6E-409C-BE32-E72D297353CC}">
              <c16:uniqueId val="{00000000-6BC3-461B-9260-BDE506541793}"/>
            </c:ext>
          </c:extLst>
        </c:ser>
        <c:ser>
          <c:idx val="1"/>
          <c:order val="1"/>
          <c:tx>
            <c:strRef>
              <c:f>'Staging KPI'!$C$16</c:f>
              <c:strCache>
                <c:ptCount val="1"/>
                <c:pt idx="0">
                  <c:v>Total Net Income</c:v>
                </c:pt>
              </c:strCache>
            </c:strRef>
          </c:tx>
          <c:spPr>
            <a:solidFill>
              <a:schemeClr val="accent2"/>
            </a:solidFill>
            <a:ln>
              <a:noFill/>
            </a:ln>
            <a:effectLst/>
          </c:spPr>
          <c:invertIfNegative val="0"/>
          <c:cat>
            <c:strRef>
              <c:f>'Staging KPI'!$A$17:$A$29</c:f>
              <c:strCache>
                <c:ptCount val="12"/>
                <c:pt idx="0">
                  <c:v>NVDA</c:v>
                </c:pt>
                <c:pt idx="1">
                  <c:v>PYPL</c:v>
                </c:pt>
                <c:pt idx="2">
                  <c:v>PCG</c:v>
                </c:pt>
                <c:pt idx="3">
                  <c:v>MCD</c:v>
                </c:pt>
                <c:pt idx="4">
                  <c:v>SHLDQ</c:v>
                </c:pt>
                <c:pt idx="5">
                  <c:v>BCS</c:v>
                </c:pt>
                <c:pt idx="6">
                  <c:v>AIG</c:v>
                </c:pt>
                <c:pt idx="7">
                  <c:v>INTC</c:v>
                </c:pt>
                <c:pt idx="8">
                  <c:v>GOOG</c:v>
                </c:pt>
                <c:pt idx="9">
                  <c:v>MSFT</c:v>
                </c:pt>
                <c:pt idx="10">
                  <c:v>AMZN</c:v>
                </c:pt>
                <c:pt idx="11">
                  <c:v>AAPL</c:v>
                </c:pt>
              </c:strCache>
            </c:strRef>
          </c:cat>
          <c:val>
            <c:numRef>
              <c:f>'Staging KPI'!$C$17:$C$29</c:f>
              <c:numCache>
                <c:formatCode>"$ "#,##0;\-\$#,##0;"-"</c:formatCode>
                <c:ptCount val="12"/>
                <c:pt idx="0">
                  <c:v>33085.743999999999</c:v>
                </c:pt>
                <c:pt idx="1">
                  <c:v>20149</c:v>
                </c:pt>
                <c:pt idx="2">
                  <c:v>-3985</c:v>
                </c:pt>
                <c:pt idx="3">
                  <c:v>75619.800000000017</c:v>
                </c:pt>
                <c:pt idx="4">
                  <c:v>-10429</c:v>
                </c:pt>
                <c:pt idx="5">
                  <c:v>40250.195199999995</c:v>
                </c:pt>
                <c:pt idx="6">
                  <c:v>41880</c:v>
                </c:pt>
                <c:pt idx="7">
                  <c:v>183323</c:v>
                </c:pt>
                <c:pt idx="8">
                  <c:v>351687</c:v>
                </c:pt>
                <c:pt idx="9">
                  <c:v>482077</c:v>
                </c:pt>
                <c:pt idx="10">
                  <c:v>82313</c:v>
                </c:pt>
                <c:pt idx="11">
                  <c:v>680563</c:v>
                </c:pt>
              </c:numCache>
            </c:numRef>
          </c:val>
          <c:extLst>
            <c:ext xmlns:c16="http://schemas.microsoft.com/office/drawing/2014/chart" uri="{C3380CC4-5D6E-409C-BE32-E72D297353CC}">
              <c16:uniqueId val="{00000001-6BC3-461B-9260-BDE506541793}"/>
            </c:ext>
          </c:extLst>
        </c:ser>
        <c:dLbls>
          <c:showLegendKey val="0"/>
          <c:showVal val="0"/>
          <c:showCatName val="0"/>
          <c:showSerName val="0"/>
          <c:showPercent val="0"/>
          <c:showBubbleSize val="0"/>
        </c:dLbls>
        <c:gapWidth val="182"/>
        <c:axId val="1796145631"/>
        <c:axId val="1776094063"/>
      </c:barChart>
      <c:catAx>
        <c:axId val="179614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6094063"/>
        <c:crosses val="autoZero"/>
        <c:auto val="1"/>
        <c:lblAlgn val="ctr"/>
        <c:lblOffset val="100"/>
        <c:noMultiLvlLbl val="0"/>
      </c:catAx>
      <c:valAx>
        <c:axId val="1776094063"/>
        <c:scaling>
          <c:orientation val="minMax"/>
        </c:scaling>
        <c:delete val="0"/>
        <c:axPos val="b"/>
        <c:numFmt formatCode="\$#,##0,&quot;K&quot;;\-\$#,##0,&quot;K&quot;;&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6145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[Financial_Statements_Analysis_Dashboard.xlsx]Staging KPI!PivotTable17</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sz="1400" b="1" i="0" u="none" strike="noStrike" baseline="0">
                <a:solidFill>
                  <a:schemeClr val="bg1"/>
                </a:solidFill>
              </a:rPr>
              <a:t>Multi-Year Financial Trend: Revenue vs Net Income (2009–2023)</a:t>
            </a:r>
            <a:endParaRPr lang="en-ID"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rgbClr val="00206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'Staging KPI'!$B$44</c:f>
              <c:strCache>
                <c:ptCount val="1"/>
                <c:pt idx="0">
                  <c:v>Total Revenue</c:v>
                </c:pt>
              </c:strCache>
            </c:strRef>
          </c:tx>
          <c:spPr>
            <a:solidFill>
              <a:schemeClr val="accent6"/>
            </a:solidFill>
            <a:ln>
              <a:noFill/>
            </a:ln>
            <a:effectLst/>
          </c:spPr>
          <c:invertIfNegative val="0"/>
          <c:cat>
            <c:strRef>
              <c:f>'Staging KPI'!$A$45:$A$60</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'Staging KPI'!$B$45:$B$60</c:f>
              <c:numCache>
                <c:formatCode>"$ "#,##0;\-\$#,##0;"-"</c:formatCode>
                <c:ptCount val="15"/>
                <c:pt idx="0">
                  <c:v>392406.59899999999</c:v>
                </c:pt>
                <c:pt idx="1">
                  <c:v>441318.11499999999</c:v>
                </c:pt>
                <c:pt idx="2">
                  <c:v>520314.12900000002</c:v>
                </c:pt>
                <c:pt idx="3">
                  <c:v>596125.99</c:v>
                </c:pt>
                <c:pt idx="4">
                  <c:v>631862.549</c:v>
                </c:pt>
                <c:pt idx="5">
                  <c:v>679444.45</c:v>
                </c:pt>
                <c:pt idx="6">
                  <c:v>749265.16</c:v>
                </c:pt>
                <c:pt idx="7">
                  <c:v>757164.44000000006</c:v>
                </c:pt>
                <c:pt idx="8">
                  <c:v>836067.15</c:v>
                </c:pt>
                <c:pt idx="9">
                  <c:v>971994.23</c:v>
                </c:pt>
                <c:pt idx="10">
                  <c:v>1045710.3</c:v>
                </c:pt>
                <c:pt idx="11">
                  <c:v>1205720.3400000001</c:v>
                </c:pt>
                <c:pt idx="12">
                  <c:v>1508525.5899999999</c:v>
                </c:pt>
                <c:pt idx="13">
                  <c:v>1639070.68</c:v>
                </c:pt>
                <c:pt idx="14">
                  <c:v>238889</c:v>
                </c:pt>
              </c:numCache>
            </c:numRef>
          </c:val>
          <c:extLst>
            <c:ext xmlns:c16="http://schemas.microsoft.com/office/drawing/2014/chart" uri="{C3380CC4-5D6E-409C-BE32-E72D297353CC}">
              <c16:uniqueId val="{00000000-03C0-484A-B329-3A3AF8DADF56}"/>
            </c:ext>
          </c:extLst>
        </c:ser>
        <c:dLbls>
          <c:showLegendKey val="0"/>
          <c:showVal val="0"/>
          <c:showCatName val="0"/>
          <c:showSerName val="0"/>
          <c:showPercent val="0"/>
          <c:showBubbleSize val="0"/>
        </c:dLbls>
        <c:gapWidth val="219"/>
        <c:overlap val="-27"/>
        <c:axId val="1815027135"/>
        <c:axId val="1776126703"/>
      </c:barChart>
      <c:lineChart>
        <c:grouping val="standard"/>
        <c:varyColors val="0"/>
        <c:ser>
          <c:idx val="1"/>
          <c:order val="1"/>
          <c:tx>
            <c:strRef>
              <c:f>'Staging KPI'!$C$44</c:f>
              <c:strCache>
                <c:ptCount val="1"/>
                <c:pt idx="0">
                  <c:v>Total Net Income</c:v>
                </c:pt>
              </c:strCache>
            </c:strRef>
          </c:tx>
          <c:spPr>
            <a:ln w="28575" cap="rnd">
              <a:solidFill>
                <a:schemeClr val="accent2"/>
              </a:solidFill>
              <a:round/>
            </a:ln>
            <a:effectLst/>
          </c:spPr>
          <c:marker>
            <c:symbol val="circle"/>
            <c:size val="5"/>
            <c:spPr>
              <a:solidFill>
                <a:srgbClr val="002060"/>
              </a:solidFill>
              <a:ln w="9525">
                <a:solidFill>
                  <a:schemeClr val="accent2"/>
                </a:solidFill>
              </a:ln>
              <a:effectLst/>
            </c:spPr>
          </c:marker>
          <c:cat>
            <c:strRef>
              <c:f>'Staging KPI'!$A$45:$A$60</c:f>
              <c:strCache>
                <c:ptCount val="15"/>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strCache>
            </c:strRef>
          </c:cat>
          <c:val>
            <c:numRef>
              <c:f>'Staging KPI'!$C$45:$C$60</c:f>
              <c:numCache>
                <c:formatCode>"$ "#,##0;\-\$#,##0;"-"</c:formatCode>
                <c:ptCount val="15"/>
                <c:pt idx="0">
                  <c:v>33642.828999999998</c:v>
                </c:pt>
                <c:pt idx="1">
                  <c:v>69186.42300000001</c:v>
                </c:pt>
                <c:pt idx="2">
                  <c:v>105264.226</c:v>
                </c:pt>
                <c:pt idx="3">
                  <c:v>85923.801000000007</c:v>
                </c:pt>
                <c:pt idx="4">
                  <c:v>97490.992799999993</c:v>
                </c:pt>
                <c:pt idx="5">
                  <c:v>100202.02840000001</c:v>
                </c:pt>
                <c:pt idx="6">
                  <c:v>100709.90400000001</c:v>
                </c:pt>
                <c:pt idx="7">
                  <c:v>106880.63</c:v>
                </c:pt>
                <c:pt idx="8">
                  <c:v>98653.226999999999</c:v>
                </c:pt>
                <c:pt idx="9">
                  <c:v>143613.011</c:v>
                </c:pt>
                <c:pt idx="10">
                  <c:v>173950.97099999999</c:v>
                </c:pt>
                <c:pt idx="11">
                  <c:v>190587.88399999999</c:v>
                </c:pt>
                <c:pt idx="12">
                  <c:v>319285.46299999999</c:v>
                </c:pt>
                <c:pt idx="13">
                  <c:v>274413.34899999999</c:v>
                </c:pt>
                <c:pt idx="14">
                  <c:v>76729</c:v>
                </c:pt>
              </c:numCache>
            </c:numRef>
          </c:val>
          <c:smooth val="0"/>
          <c:extLst>
            <c:ext xmlns:c16="http://schemas.microsoft.com/office/drawing/2014/chart" uri="{C3380CC4-5D6E-409C-BE32-E72D297353CC}">
              <c16:uniqueId val="{00000001-03C0-484A-B329-3A3AF8DADF56}"/>
            </c:ext>
          </c:extLst>
        </c:ser>
        <c:dLbls>
          <c:showLegendKey val="0"/>
          <c:showVal val="0"/>
          <c:showCatName val="0"/>
          <c:showSerName val="0"/>
          <c:showPercent val="0"/>
          <c:showBubbleSize val="0"/>
        </c:dLbls>
        <c:marker val="1"/>
        <c:smooth val="0"/>
        <c:axId val="1815018319"/>
        <c:axId val="1776124303"/>
      </c:lineChart>
      <c:catAx>
        <c:axId val="181502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6126703"/>
        <c:crosses val="autoZero"/>
        <c:auto val="1"/>
        <c:lblAlgn val="ctr"/>
        <c:lblOffset val="100"/>
        <c:noMultiLvlLbl val="0"/>
      </c:catAx>
      <c:valAx>
        <c:axId val="1776126703"/>
        <c:scaling>
          <c:orientation val="minMax"/>
        </c:scaling>
        <c:delete val="0"/>
        <c:axPos val="l"/>
        <c:numFmt formatCode="\$#,##0,&quot;K&quot;;\-\$#,##0,&quot;K&quot;;&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5027135"/>
        <c:crosses val="autoZero"/>
        <c:crossBetween val="between"/>
      </c:valAx>
      <c:valAx>
        <c:axId val="1776124303"/>
        <c:scaling>
          <c:orientation val="minMax"/>
        </c:scaling>
        <c:delete val="0"/>
        <c:axPos val="r"/>
        <c:numFmt formatCode="\$#,##0,&quot;K&quot;;\-\$#,##0,&quot;K&quot;;&quot;-&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5018319"/>
        <c:crosses val="max"/>
        <c:crossBetween val="between"/>
      </c:valAx>
      <c:catAx>
        <c:axId val="1815018319"/>
        <c:scaling>
          <c:orientation val="minMax"/>
        </c:scaling>
        <c:delete val="1"/>
        <c:axPos val="b"/>
        <c:numFmt formatCode="General" sourceLinked="1"/>
        <c:majorTickMark val="out"/>
        <c:minorTickMark val="none"/>
        <c:tickLblPos val="nextTo"/>
        <c:crossAx val="17761243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[Financial_Statements_Analysis_Dashboard.xlsx]Staging KPI!PivotTable16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sz="1400" b="1" i="0" u="none" strike="noStrike" baseline="0">
                <a:solidFill>
                  <a:schemeClr val="bg1"/>
                </a:solidFill>
              </a:rPr>
              <a:t>Financial Performance by Industry Category</a:t>
            </a:r>
            <a:endParaRPr lang="en-ID"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81424162639014E-2"/>
          <c:y val="0.14698251551043431"/>
          <c:w val="0.86107409650716737"/>
          <c:h val="0.68729691360491951"/>
        </c:manualLayout>
      </c:layout>
      <c:barChart>
        <c:barDir val="bar"/>
        <c:grouping val="clustered"/>
        <c:varyColors val="0"/>
        <c:ser>
          <c:idx val="0"/>
          <c:order val="0"/>
          <c:tx>
            <c:strRef>
              <c:f>'Staging KPI'!$B$32</c:f>
              <c:strCache>
                <c:ptCount val="1"/>
                <c:pt idx="0">
                  <c:v>Total Revenue </c:v>
                </c:pt>
              </c:strCache>
            </c:strRef>
          </c:tx>
          <c:spPr>
            <a:solidFill>
              <a:schemeClr val="accent6"/>
            </a:solidFill>
            <a:ln>
              <a:noFill/>
            </a:ln>
            <a:effectLst/>
          </c:spPr>
          <c:invertIfNegative val="0"/>
          <c:cat>
            <c:strRef>
              <c:f>'Staging KPI'!$A$33:$A$41</c:f>
              <c:strCache>
                <c:ptCount val="8"/>
                <c:pt idx="0">
                  <c:v>FinTech</c:v>
                </c:pt>
                <c:pt idx="1">
                  <c:v>Manufacturing</c:v>
                </c:pt>
                <c:pt idx="2">
                  <c:v>FOOD</c:v>
                </c:pt>
                <c:pt idx="3">
                  <c:v>Finance</c:v>
                </c:pt>
                <c:pt idx="4">
                  <c:v>ELEC</c:v>
                </c:pt>
                <c:pt idx="5">
                  <c:v>Bank</c:v>
                </c:pt>
                <c:pt idx="6">
                  <c:v>LOGI</c:v>
                </c:pt>
                <c:pt idx="7">
                  <c:v>IT</c:v>
                </c:pt>
              </c:strCache>
            </c:strRef>
          </c:cat>
          <c:val>
            <c:numRef>
              <c:f>'Staging KPI'!$B$33:$B$41</c:f>
              <c:numCache>
                <c:formatCode>"$ "#,##0;\-\$#,##0;"-"</c:formatCode>
                <c:ptCount val="8"/>
                <c:pt idx="0">
                  <c:v>148775</c:v>
                </c:pt>
                <c:pt idx="1">
                  <c:v>236237</c:v>
                </c:pt>
                <c:pt idx="2">
                  <c:v>338030.2</c:v>
                </c:pt>
                <c:pt idx="3">
                  <c:v>345587</c:v>
                </c:pt>
                <c:pt idx="4">
                  <c:v>977144.70200000005</c:v>
                </c:pt>
                <c:pt idx="5">
                  <c:v>1342742.82</c:v>
                </c:pt>
                <c:pt idx="6">
                  <c:v>2635460</c:v>
                </c:pt>
                <c:pt idx="7">
                  <c:v>6189902</c:v>
                </c:pt>
              </c:numCache>
            </c:numRef>
          </c:val>
          <c:extLst>
            <c:ext xmlns:c16="http://schemas.microsoft.com/office/drawing/2014/chart" uri="{C3380CC4-5D6E-409C-BE32-E72D297353CC}">
              <c16:uniqueId val="{00000000-DD59-4EF8-A209-A5CA6893C877}"/>
            </c:ext>
          </c:extLst>
        </c:ser>
        <c:ser>
          <c:idx val="1"/>
          <c:order val="1"/>
          <c:tx>
            <c:strRef>
              <c:f>'Staging KPI'!$C$32</c:f>
              <c:strCache>
                <c:ptCount val="1"/>
                <c:pt idx="0">
                  <c:v>Total Net income</c:v>
                </c:pt>
              </c:strCache>
            </c:strRef>
          </c:tx>
          <c:spPr>
            <a:solidFill>
              <a:schemeClr val="accent2"/>
            </a:solidFill>
            <a:ln>
              <a:noFill/>
            </a:ln>
            <a:effectLst/>
          </c:spPr>
          <c:invertIfNegative val="0"/>
          <c:cat>
            <c:strRef>
              <c:f>'Staging KPI'!$A$33:$A$41</c:f>
              <c:strCache>
                <c:ptCount val="8"/>
                <c:pt idx="0">
                  <c:v>FinTech</c:v>
                </c:pt>
                <c:pt idx="1">
                  <c:v>Manufacturing</c:v>
                </c:pt>
                <c:pt idx="2">
                  <c:v>FOOD</c:v>
                </c:pt>
                <c:pt idx="3">
                  <c:v>Finance</c:v>
                </c:pt>
                <c:pt idx="4">
                  <c:v>ELEC</c:v>
                </c:pt>
                <c:pt idx="5">
                  <c:v>Bank</c:v>
                </c:pt>
                <c:pt idx="6">
                  <c:v>LOGI</c:v>
                </c:pt>
                <c:pt idx="7">
                  <c:v>IT</c:v>
                </c:pt>
              </c:strCache>
            </c:strRef>
          </c:cat>
          <c:val>
            <c:numRef>
              <c:f>'Staging KPI'!$C$33:$C$41</c:f>
              <c:numCache>
                <c:formatCode>"$ "#,##0;\-\$#,##0;"-"</c:formatCode>
                <c:ptCount val="8"/>
                <c:pt idx="0">
                  <c:v>20149</c:v>
                </c:pt>
                <c:pt idx="1">
                  <c:v>-3985</c:v>
                </c:pt>
                <c:pt idx="2">
                  <c:v>75619.800000000017</c:v>
                </c:pt>
                <c:pt idx="3">
                  <c:v>-10429</c:v>
                </c:pt>
                <c:pt idx="4">
                  <c:v>216408.74400000001</c:v>
                </c:pt>
                <c:pt idx="5">
                  <c:v>82130.195200000002</c:v>
                </c:pt>
                <c:pt idx="6">
                  <c:v>82313</c:v>
                </c:pt>
                <c:pt idx="7">
                  <c:v>1514327</c:v>
                </c:pt>
              </c:numCache>
            </c:numRef>
          </c:val>
          <c:extLst>
            <c:ext xmlns:c16="http://schemas.microsoft.com/office/drawing/2014/chart" uri="{C3380CC4-5D6E-409C-BE32-E72D297353CC}">
              <c16:uniqueId val="{00000001-DD59-4EF8-A209-A5CA6893C877}"/>
            </c:ext>
          </c:extLst>
        </c:ser>
        <c:dLbls>
          <c:showLegendKey val="0"/>
          <c:showVal val="0"/>
          <c:showCatName val="0"/>
          <c:showSerName val="0"/>
          <c:showPercent val="0"/>
          <c:showBubbleSize val="0"/>
        </c:dLbls>
        <c:gapWidth val="182"/>
        <c:axId val="1842288543"/>
        <c:axId val="1776069103"/>
      </c:barChart>
      <c:catAx>
        <c:axId val="184228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6069103"/>
        <c:crosses val="autoZero"/>
        <c:auto val="1"/>
        <c:lblAlgn val="ctr"/>
        <c:lblOffset val="100"/>
        <c:noMultiLvlLbl val="0"/>
      </c:catAx>
      <c:valAx>
        <c:axId val="1776069103"/>
        <c:scaling>
          <c:orientation val="minMax"/>
        </c:scaling>
        <c:delete val="0"/>
        <c:axPos val="b"/>
        <c:numFmt formatCode="\$#,##0,&quot;K&quot;;\-\$#,##0,&quot;K&quot;;&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2288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_xlchart.v5.1</cx:f>
      </cx:numDim>
    </cx:data>
  </cx:chartData>
  <cx:chart>
    <cx:title pos="t" align="ctr" overlay="0">
      <cx:tx>
        <cx:rich>
          <a:bodyPr spcFirstLastPara="1" vertOverflow="ellipsis" horzOverflow="overflow" wrap="square" lIns="0" tIns="0" rIns="0" bIns="0" anchor="ctr" anchorCtr="1"/>
          <a:lstStyle/>
          <a:p>
            <a:pPr algn="ctr" rtl="0">
              <a:defRPr sz="1400">
                <a:solidFill>
                  <a:schemeClr val="bg1"/>
                </a:solidFill>
                <a:latin typeface="Calibri (body)"/>
                <a:ea typeface="Calibri (body)"/>
                <a:cs typeface="Calibri (body)"/>
              </a:defRPr>
            </a:pPr>
            <a:r>
              <a:rPr lang="en-ID" sz="1400" b="1" cap="none" baseline="0">
                <a:solidFill>
                  <a:schemeClr val="bg1"/>
                </a:solidFill>
                <a:latin typeface="Calibri (body)"/>
              </a:rPr>
              <a:t>Profit Bridge Waterfall (USD)</a:t>
            </a:r>
            <a:endParaRPr lang="en-US" sz="1400" b="1" i="0" u="none" strike="noStrike" cap="none" baseline="0">
              <a:solidFill>
                <a:schemeClr val="bg1"/>
              </a:solidFill>
              <a:latin typeface="Calibri (body)"/>
            </a:endParaRPr>
          </a:p>
        </cx:rich>
      </cx:tx>
      <cx:spPr>
        <a:noFill/>
      </cx:spPr>
    </cx:title>
    <cx:plotArea>
      <cx:plotAreaRegion>
        <cx:series layoutId="waterfall" uniqueId="{00000000-9D57-4B7B-86C7-3FE974E1CA3E}">
          <cx:spPr>
            <a:solidFill>
              <a:schemeClr val="accent1">
                <a:lumMod val="40000"/>
                <a:lumOff val="60000"/>
              </a:schemeClr>
            </a:solidFill>
          </cx:spPr>
          <cx:dataPt idx="0">
            <cx:spPr>
              <a:solidFill>
                <a:srgbClr val="E7E6E6">
                  <a:lumMod val="75000"/>
                </a:srgbClr>
              </a:solidFill>
            </cx:spPr>
          </cx:dataPt>
          <cx:dataPt idx="1">
            <cx:spPr>
              <a:solidFill>
                <a:srgbClr val="ED7D31">
                  <a:lumMod val="40000"/>
                  <a:lumOff val="60000"/>
                </a:srgbClr>
              </a:solidFill>
            </cx:spPr>
          </cx:dataPt>
          <cx:dataPt idx="2">
            <cx:spPr>
              <a:solidFill>
                <a:srgbClr val="4472C4">
                  <a:lumMod val="60000"/>
                  <a:lumOff val="40000"/>
                </a:srgbClr>
              </a:solidFill>
            </cx:spPr>
          </cx:dataPt>
          <cx:dataPt idx="3">
            <cx:spPr>
              <a:solidFill>
                <a:srgbClr val="ED7D31">
                  <a:lumMod val="40000"/>
                  <a:lumOff val="60000"/>
                </a:srgbClr>
              </a:solidFill>
            </cx:spPr>
          </cx:dataPt>
          <cx:dataPt idx="4">
            <cx:spPr>
              <a:solidFill>
                <a:srgbClr val="4472C4">
                  <a:lumMod val="60000"/>
                  <a:lumOff val="40000"/>
                </a:srgbClr>
              </a:solidFill>
            </cx:spPr>
          </cx:dataPt>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layoutPr>
            <cx:visibility connectorLines="0"/>
            <cx:subtotals>
              <cx:idx val="0"/>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hidden="1">
        <cx:valScaling/>
        <cx:tickLabels/>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solidFill>
      <a:srgbClr val="002060"/>
    </a:solidFill>
    <a:ln>
      <a:noFill/>
    </a:ln>
  </cx:spPr>
  <cx:fmtOvrs>
    <cx:fmtOvr idx="0">
      <cx:spPr>
        <a:solidFill>
          <a:schemeClr val="bg2">
            <a:lumMod val="90000"/>
          </a:schemeClr>
        </a:solidFill>
      </cx:spPr>
    </cx:fmtOvr>
    <cx:fmtOvr idx="1">
      <cx:spPr>
        <a:solidFill>
          <a:schemeClr val="accent2">
            <a:lumMod val="60000"/>
            <a:lumOff val="40000"/>
          </a:schemeClr>
        </a:solidFill>
      </cx:spPr>
    </cx:fmtOvr>
    <cx:fmtOvr idx="2">
      <cx:spPr>
        <a:solidFill>
          <a:schemeClr val="accent5">
            <a:lumMod val="60000"/>
            <a:lumOff val="40000"/>
          </a:schemeClr>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hyperlink" Target="https://turismosocialimserso.com/turismo/revenue" TargetMode="External"/><Relationship Id="rId5"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480060</xdr:colOff>
      <xdr:row>0</xdr:row>
      <xdr:rowOff>0</xdr:rowOff>
    </xdr:from>
    <xdr:to>
      <xdr:col>16</xdr:col>
      <xdr:colOff>579120</xdr:colOff>
      <xdr:row>6</xdr:row>
      <xdr:rowOff>45720</xdr:rowOff>
    </xdr:to>
    <xdr:sp macro="" textlink="">
      <xdr:nvSpPr>
        <xdr:cNvPr id="34" name="Rectangle 33">
          <a:extLst>
            <a:ext uri="{FF2B5EF4-FFF2-40B4-BE49-F238E27FC236}">
              <a16:creationId xmlns:a16="http://schemas.microsoft.com/office/drawing/2014/main" id="{C6250AA4-8E9D-C49C-D452-F4F000E1C95F}"/>
            </a:ext>
          </a:extLst>
        </xdr:cNvPr>
        <xdr:cNvSpPr/>
      </xdr:nvSpPr>
      <xdr:spPr>
        <a:xfrm>
          <a:off x="480060" y="0"/>
          <a:ext cx="9852660" cy="1255395"/>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bg1"/>
            </a:solidFill>
          </a:endParaRPr>
        </a:p>
      </xdr:txBody>
    </xdr:sp>
    <xdr:clientData/>
  </xdr:twoCellAnchor>
  <xdr:twoCellAnchor editAs="oneCell">
    <xdr:from>
      <xdr:col>9</xdr:col>
      <xdr:colOff>114300</xdr:colOff>
      <xdr:row>0</xdr:row>
      <xdr:rowOff>87630</xdr:rowOff>
    </xdr:from>
    <xdr:to>
      <xdr:col>12</xdr:col>
      <xdr:colOff>333375</xdr:colOff>
      <xdr:row>6</xdr:row>
      <xdr:rowOff>41910</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5E4F96C7-A41D-496E-B0C8-EF436376D73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00700" y="87630"/>
              <a:ext cx="2047875" cy="11843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34289</xdr:colOff>
      <xdr:row>0</xdr:row>
      <xdr:rowOff>95250</xdr:rowOff>
    </xdr:from>
    <xdr:to>
      <xdr:col>16</xdr:col>
      <xdr:colOff>190500</xdr:colOff>
      <xdr:row>6</xdr:row>
      <xdr:rowOff>34290</xdr:rowOff>
    </xdr:to>
    <mc:AlternateContent xmlns:mc="http://schemas.openxmlformats.org/markup-compatibility/2006" xmlns:a14="http://schemas.microsoft.com/office/drawing/2010/main">
      <mc:Choice Requires="a14">
        <xdr:graphicFrame macro="">
          <xdr:nvGraphicFramePr>
            <xdr:cNvPr id="36" name="Company ">
              <a:extLst>
                <a:ext uri="{FF2B5EF4-FFF2-40B4-BE49-F238E27FC236}">
                  <a16:creationId xmlns:a16="http://schemas.microsoft.com/office/drawing/2014/main" id="{8E679841-1B64-4D02-8F29-51DA35666A47}"/>
                </a:ext>
              </a:extLst>
            </xdr:cNvPr>
            <xdr:cNvGraphicFramePr/>
          </xdr:nvGraphicFramePr>
          <xdr:xfrm>
            <a:off x="0" y="0"/>
            <a:ext cx="0" cy="0"/>
          </xdr:xfrm>
          <a:graphic>
            <a:graphicData uri="http://schemas.microsoft.com/office/drawing/2010/slicer">
              <sle:slicer xmlns:sle="http://schemas.microsoft.com/office/drawing/2010/slicer" name="Company "/>
            </a:graphicData>
          </a:graphic>
        </xdr:graphicFrame>
      </mc:Choice>
      <mc:Fallback xmlns="">
        <xdr:sp macro="" textlink="">
          <xdr:nvSpPr>
            <xdr:cNvPr id="0" name=""/>
            <xdr:cNvSpPr>
              <a:spLocks noTextEdit="1"/>
            </xdr:cNvSpPr>
          </xdr:nvSpPr>
          <xdr:spPr>
            <a:xfrm>
              <a:off x="7959089" y="95250"/>
              <a:ext cx="1985011" cy="116912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571501</xdr:colOff>
      <xdr:row>0</xdr:row>
      <xdr:rowOff>114301</xdr:rowOff>
    </xdr:from>
    <xdr:to>
      <xdr:col>20</xdr:col>
      <xdr:colOff>190500</xdr:colOff>
      <xdr:row>6</xdr:row>
      <xdr:rowOff>53340</xdr:rowOff>
    </xdr:to>
    <mc:AlternateContent xmlns:mc="http://schemas.openxmlformats.org/markup-compatibility/2006" xmlns:a14="http://schemas.microsoft.com/office/drawing/2010/main">
      <mc:Choice Requires="a14">
        <xdr:graphicFrame macro="">
          <xdr:nvGraphicFramePr>
            <xdr:cNvPr id="37" name="Category">
              <a:extLst>
                <a:ext uri="{FF2B5EF4-FFF2-40B4-BE49-F238E27FC236}">
                  <a16:creationId xmlns:a16="http://schemas.microsoft.com/office/drawing/2014/main" id="{9C4092F2-C7F0-4021-8FAD-D66F7B181E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25101" y="114301"/>
              <a:ext cx="1894113" cy="1169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447676</xdr:colOff>
      <xdr:row>6</xdr:row>
      <xdr:rowOff>57150</xdr:rowOff>
    </xdr:from>
    <xdr:to>
      <xdr:col>8</xdr:col>
      <xdr:colOff>209550</xdr:colOff>
      <xdr:row>22</xdr:row>
      <xdr:rowOff>104775</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0F8CBB16-CD88-4B63-9EBE-260810B735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676" y="1276350"/>
              <a:ext cx="4638674" cy="297370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339090</xdr:colOff>
      <xdr:row>6</xdr:row>
      <xdr:rowOff>55246</xdr:rowOff>
    </xdr:from>
    <xdr:to>
      <xdr:col>16</xdr:col>
      <xdr:colOff>9525</xdr:colOff>
      <xdr:row>22</xdr:row>
      <xdr:rowOff>123826</xdr:rowOff>
    </xdr:to>
    <xdr:graphicFrame macro="">
      <xdr:nvGraphicFramePr>
        <xdr:cNvPr id="39" name="Chart 38">
          <a:extLst>
            <a:ext uri="{FF2B5EF4-FFF2-40B4-BE49-F238E27FC236}">
              <a16:creationId xmlns:a16="http://schemas.microsoft.com/office/drawing/2014/main" id="{4B74F105-2A99-4811-9FB9-4F1E48073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403860</xdr:colOff>
      <xdr:row>22</xdr:row>
      <xdr:rowOff>169545</xdr:rowOff>
    </xdr:from>
    <xdr:to>
      <xdr:col>8</xdr:col>
      <xdr:colOff>209550</xdr:colOff>
      <xdr:row>40</xdr:row>
      <xdr:rowOff>19050</xdr:rowOff>
    </xdr:to>
    <xdr:graphicFrame macro="">
      <xdr:nvGraphicFramePr>
        <xdr:cNvPr id="41" name="Chart 40">
          <a:extLst>
            <a:ext uri="{FF2B5EF4-FFF2-40B4-BE49-F238E27FC236}">
              <a16:creationId xmlns:a16="http://schemas.microsoft.com/office/drawing/2014/main" id="{9A0399CE-1B16-40A5-8E53-EAB81C05B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340996</xdr:colOff>
      <xdr:row>23</xdr:row>
      <xdr:rowOff>26670</xdr:rowOff>
    </xdr:from>
    <xdr:to>
      <xdr:col>16</xdr:col>
      <xdr:colOff>19050</xdr:colOff>
      <xdr:row>40</xdr:row>
      <xdr:rowOff>9524</xdr:rowOff>
    </xdr:to>
    <xdr:graphicFrame macro="">
      <xdr:nvGraphicFramePr>
        <xdr:cNvPr id="42" name="Chart 41">
          <a:extLst>
            <a:ext uri="{FF2B5EF4-FFF2-40B4-BE49-F238E27FC236}">
              <a16:creationId xmlns:a16="http://schemas.microsoft.com/office/drawing/2014/main" id="{15F68633-C65A-4409-B197-F1A87F5D4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375713</xdr:colOff>
      <xdr:row>0</xdr:row>
      <xdr:rowOff>170156</xdr:rowOff>
    </xdr:from>
    <xdr:ext cx="5152251" cy="911147"/>
    <xdr:sp macro="" textlink="">
      <xdr:nvSpPr>
        <xdr:cNvPr id="43" name="Rectangle 42">
          <a:extLst>
            <a:ext uri="{FF2B5EF4-FFF2-40B4-BE49-F238E27FC236}">
              <a16:creationId xmlns:a16="http://schemas.microsoft.com/office/drawing/2014/main" id="{6FEFA6AB-379D-EDE7-9B97-A22293D583B8}"/>
            </a:ext>
          </a:extLst>
        </xdr:cNvPr>
        <xdr:cNvSpPr/>
      </xdr:nvSpPr>
      <xdr:spPr>
        <a:xfrm>
          <a:off x="375713" y="170156"/>
          <a:ext cx="5152251" cy="911147"/>
        </a:xfrm>
        <a:prstGeom prst="rect">
          <a:avLst/>
        </a:prstGeom>
        <a:noFill/>
      </xdr:spPr>
      <xdr:txBody>
        <a:bodyPr wrap="square" lIns="91440" tIns="45720" rIns="91440" bIns="45720">
          <a:spAutoFit/>
        </a:bodyPr>
        <a:lstStyle/>
        <a:p>
          <a:pPr algn="l"/>
          <a:r>
            <a:rPr lang="en-ID" sz="2300" b="1" cap="none" spc="0">
              <a:ln w="6600">
                <a:solidFill>
                  <a:schemeClr val="accent2"/>
                </a:solidFill>
                <a:prstDash val="solid"/>
              </a:ln>
              <a:solidFill>
                <a:srgbClr val="FFFFFF"/>
              </a:solidFill>
              <a:effectLst>
                <a:outerShdw dist="38100" dir="2700000" algn="tl" rotWithShape="0">
                  <a:schemeClr val="accent2"/>
                </a:outerShdw>
              </a:effectLst>
              <a:latin typeface="Segoe UI" panose="020B0502040204020203" pitchFamily="34" charset="0"/>
              <a:cs typeface="Segoe UI" panose="020B0502040204020203" pitchFamily="34" charset="0"/>
            </a:rPr>
            <a:t>FINANCIAL STATEMENTS OF MAJOR COMPANIES (2009–2023)</a:t>
          </a:r>
        </a:p>
      </xdr:txBody>
    </xdr:sp>
    <xdr:clientData/>
  </xdr:oneCellAnchor>
  <xdr:twoCellAnchor>
    <xdr:from>
      <xdr:col>16</xdr:col>
      <xdr:colOff>309168</xdr:colOff>
      <xdr:row>7</xdr:row>
      <xdr:rowOff>121359</xdr:rowOff>
    </xdr:from>
    <xdr:to>
      <xdr:col>20</xdr:col>
      <xdr:colOff>251303</xdr:colOff>
      <xdr:row>37</xdr:row>
      <xdr:rowOff>64770</xdr:rowOff>
    </xdr:to>
    <xdr:grpSp>
      <xdr:nvGrpSpPr>
        <xdr:cNvPr id="3" name="Group 2">
          <a:extLst>
            <a:ext uri="{FF2B5EF4-FFF2-40B4-BE49-F238E27FC236}">
              <a16:creationId xmlns:a16="http://schemas.microsoft.com/office/drawing/2014/main" id="{C9772F19-7EFC-3C94-47EB-9F57585B5DF3}"/>
            </a:ext>
          </a:extLst>
        </xdr:cNvPr>
        <xdr:cNvGrpSpPr/>
      </xdr:nvGrpSpPr>
      <xdr:grpSpPr>
        <a:xfrm>
          <a:off x="10062768" y="1536502"/>
          <a:ext cx="2217249" cy="5495125"/>
          <a:chOff x="10062768" y="1536502"/>
          <a:chExt cx="2217249" cy="5495125"/>
        </a:xfrm>
      </xdr:grpSpPr>
      <xdr:grpSp>
        <xdr:nvGrpSpPr>
          <xdr:cNvPr id="55" name="Group 54">
            <a:extLst>
              <a:ext uri="{FF2B5EF4-FFF2-40B4-BE49-F238E27FC236}">
                <a16:creationId xmlns:a16="http://schemas.microsoft.com/office/drawing/2014/main" id="{A0ABD96A-17E1-189B-22C7-D6455B87C4A3}"/>
              </a:ext>
            </a:extLst>
          </xdr:cNvPr>
          <xdr:cNvGrpSpPr/>
        </xdr:nvGrpSpPr>
        <xdr:grpSpPr>
          <a:xfrm>
            <a:off x="10062768" y="1536502"/>
            <a:ext cx="2217249" cy="5495125"/>
            <a:chOff x="10062768" y="1501924"/>
            <a:chExt cx="2219170" cy="5322234"/>
          </a:xfrm>
        </xdr:grpSpPr>
        <xdr:grpSp>
          <xdr:nvGrpSpPr>
            <xdr:cNvPr id="20" name="Group 19">
              <a:extLst>
                <a:ext uri="{FF2B5EF4-FFF2-40B4-BE49-F238E27FC236}">
                  <a16:creationId xmlns:a16="http://schemas.microsoft.com/office/drawing/2014/main" id="{FF51631B-7A49-4945-A3BD-A9A1C3B86F34}"/>
                </a:ext>
              </a:extLst>
            </xdr:cNvPr>
            <xdr:cNvGrpSpPr/>
          </xdr:nvGrpSpPr>
          <xdr:grpSpPr>
            <a:xfrm>
              <a:off x="10062770" y="4432823"/>
              <a:ext cx="2219168" cy="896470"/>
              <a:chOff x="385219" y="106680"/>
              <a:chExt cx="2148840" cy="914400"/>
            </a:xfrm>
            <a:solidFill>
              <a:srgbClr val="D1E2D8"/>
            </a:solidFill>
          </xdr:grpSpPr>
          <xdr:sp macro="" textlink="">
            <xdr:nvSpPr>
              <xdr:cNvPr id="21" name="Rectangle: Rounded Corners 20">
                <a:extLst>
                  <a:ext uri="{FF2B5EF4-FFF2-40B4-BE49-F238E27FC236}">
                    <a16:creationId xmlns:a16="http://schemas.microsoft.com/office/drawing/2014/main" id="{00E90366-3256-7AE8-5D05-955A49C063C0}"/>
                  </a:ext>
                </a:extLst>
              </xdr:cNvPr>
              <xdr:cNvSpPr/>
            </xdr:nvSpPr>
            <xdr:spPr>
              <a:xfrm>
                <a:off x="385219" y="106680"/>
                <a:ext cx="2148840" cy="91440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pSp>
            <xdr:nvGrpSpPr>
              <xdr:cNvPr id="22" name="Group 21">
                <a:extLst>
                  <a:ext uri="{FF2B5EF4-FFF2-40B4-BE49-F238E27FC236}">
                    <a16:creationId xmlns:a16="http://schemas.microsoft.com/office/drawing/2014/main" id="{000E972D-C299-A863-23D3-88C1CD892D85}"/>
                  </a:ext>
                </a:extLst>
              </xdr:cNvPr>
              <xdr:cNvGrpSpPr/>
            </xdr:nvGrpSpPr>
            <xdr:grpSpPr>
              <a:xfrm>
                <a:off x="541020" y="236035"/>
                <a:ext cx="1775460" cy="733092"/>
                <a:chOff x="541020" y="236035"/>
                <a:chExt cx="1775460" cy="733092"/>
              </a:xfrm>
              <a:grpFill/>
            </xdr:grpSpPr>
            <xdr:sp macro="" textlink="">
              <xdr:nvSpPr>
                <xdr:cNvPr id="23" name="Rectangle 22">
                  <a:extLst>
                    <a:ext uri="{FF2B5EF4-FFF2-40B4-BE49-F238E27FC236}">
                      <a16:creationId xmlns:a16="http://schemas.microsoft.com/office/drawing/2014/main" id="{4FF34807-B909-15BE-75D5-10BF6322A8F3}"/>
                    </a:ext>
                  </a:extLst>
                </xdr:cNvPr>
                <xdr:cNvSpPr/>
              </xdr:nvSpPr>
              <xdr:spPr>
                <a:xfrm>
                  <a:off x="893786" y="236035"/>
                  <a:ext cx="1399834" cy="311496"/>
                </a:xfrm>
                <a:prstGeom prst="rect">
                  <a:avLst/>
                </a:prstGeom>
                <a:noFill/>
              </xdr:spPr>
              <xdr:txBody>
                <a:bodyPr wrap="none" lIns="91440" tIns="45720" rIns="91440" bIns="45720" anchor="ctr">
                  <a:no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Total</a:t>
                  </a:r>
                  <a:r>
                    <a:rPr lang="en-US" sz="1400" b="0" cap="none" spc="0" baseline="0">
                      <a:ln w="0"/>
                      <a:solidFill>
                        <a:schemeClr val="tx1"/>
                      </a:solidFill>
                      <a:effectLst>
                        <a:outerShdw blurRad="38100" dist="19050" dir="2700000" algn="tl" rotWithShape="0">
                          <a:schemeClr val="dk1">
                            <a:alpha val="40000"/>
                          </a:schemeClr>
                        </a:outerShdw>
                      </a:effectLst>
                    </a:rPr>
                    <a:t> Net Income</a:t>
                  </a:r>
                  <a:endParaRPr lang="en-US" sz="1400" b="0" cap="none" spc="0">
                    <a:ln w="0"/>
                    <a:solidFill>
                      <a:schemeClr val="tx1"/>
                    </a:solidFill>
                    <a:effectLst>
                      <a:outerShdw blurRad="38100" dist="19050" dir="2700000" algn="tl" rotWithShape="0">
                        <a:schemeClr val="dk1">
                          <a:alpha val="40000"/>
                        </a:schemeClr>
                      </a:outerShdw>
                    </a:effectLst>
                  </a:endParaRPr>
                </a:p>
              </xdr:txBody>
            </xdr:sp>
            <xdr:sp macro="" textlink="'Staging KPI'!B4">
              <xdr:nvSpPr>
                <xdr:cNvPr id="24" name="Rectangle 23">
                  <a:extLst>
                    <a:ext uri="{FF2B5EF4-FFF2-40B4-BE49-F238E27FC236}">
                      <a16:creationId xmlns:a16="http://schemas.microsoft.com/office/drawing/2014/main" id="{417A87CE-8280-9EE9-B768-9ADCDF028F04}"/>
                    </a:ext>
                  </a:extLst>
                </xdr:cNvPr>
                <xdr:cNvSpPr/>
              </xdr:nvSpPr>
              <xdr:spPr>
                <a:xfrm>
                  <a:off x="771588" y="563695"/>
                  <a:ext cx="1544892" cy="405432"/>
                </a:xfrm>
                <a:prstGeom prst="rect">
                  <a:avLst/>
                </a:prstGeom>
                <a:noFill/>
              </xdr:spPr>
              <xdr:txBody>
                <a:bodyPr wrap="square" lIns="91440" tIns="45720" rIns="91440" bIns="45720" anchor="ctr">
                  <a:noAutofit/>
                </a:bodyPr>
                <a:lstStyle/>
                <a:p>
                  <a:pPr algn="ctr"/>
                  <a:fld id="{47353AC5-E09F-4402-8901-7546F9F293FF}"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$ 1,976,534</a:t>
                  </a:fld>
                  <a:endParaRPr lang="en-US" sz="2000" b="0" cap="none" spc="0">
                    <a:ln w="0"/>
                    <a:solidFill>
                      <a:schemeClr val="tx1"/>
                    </a:solidFill>
                    <a:effectLst>
                      <a:outerShdw blurRad="38100" dist="19050" dir="2700000" algn="tl" rotWithShape="0">
                        <a:schemeClr val="dk1">
                          <a:alpha val="40000"/>
                        </a:schemeClr>
                      </a:outerShdw>
                    </a:effectLst>
                  </a:endParaRPr>
                </a:p>
              </xdr:txBody>
            </xdr:sp>
            <xdr:pic>
              <xdr:nvPicPr>
                <xdr:cNvPr id="25" name="Picture 24">
                  <a:extLst>
                    <a:ext uri="{FF2B5EF4-FFF2-40B4-BE49-F238E27FC236}">
                      <a16:creationId xmlns:a16="http://schemas.microsoft.com/office/drawing/2014/main" id="{E53A0D13-51E6-A132-5699-F62DA99E4CF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rcRect l="17869" t="17081" r="19244" b="28926"/>
                <a:stretch>
                  <a:fillRect/>
                </a:stretch>
              </xdr:blipFill>
              <xdr:spPr>
                <a:xfrm>
                  <a:off x="541020" y="266700"/>
                  <a:ext cx="350520" cy="321789"/>
                </a:xfrm>
                <a:prstGeom prst="rect">
                  <a:avLst/>
                </a:prstGeom>
                <a:grpFill/>
              </xdr:spPr>
            </xdr:pic>
          </xdr:grpSp>
        </xdr:grpSp>
        <xdr:grpSp>
          <xdr:nvGrpSpPr>
            <xdr:cNvPr id="26" name="Group 25">
              <a:extLst>
                <a:ext uri="{FF2B5EF4-FFF2-40B4-BE49-F238E27FC236}">
                  <a16:creationId xmlns:a16="http://schemas.microsoft.com/office/drawing/2014/main" id="{6166A4B6-8EBF-4EFF-9A35-1CD106EE1915}"/>
                </a:ext>
              </a:extLst>
            </xdr:cNvPr>
            <xdr:cNvGrpSpPr/>
          </xdr:nvGrpSpPr>
          <xdr:grpSpPr>
            <a:xfrm>
              <a:off x="10062770" y="5927688"/>
              <a:ext cx="2219168" cy="896470"/>
              <a:chOff x="190851" y="106680"/>
              <a:chExt cx="2148840" cy="914400"/>
            </a:xfrm>
            <a:solidFill>
              <a:srgbClr val="E1DAEB"/>
            </a:solidFill>
          </xdr:grpSpPr>
          <xdr:sp macro="" textlink="">
            <xdr:nvSpPr>
              <xdr:cNvPr id="27" name="Rectangle: Rounded Corners 26">
                <a:extLst>
                  <a:ext uri="{FF2B5EF4-FFF2-40B4-BE49-F238E27FC236}">
                    <a16:creationId xmlns:a16="http://schemas.microsoft.com/office/drawing/2014/main" id="{EDC7C38D-2DE1-F857-AAC8-22D09B788C66}"/>
                  </a:ext>
                </a:extLst>
              </xdr:cNvPr>
              <xdr:cNvSpPr/>
            </xdr:nvSpPr>
            <xdr:spPr>
              <a:xfrm>
                <a:off x="190851" y="106680"/>
                <a:ext cx="2148840" cy="914400"/>
              </a:xfrm>
              <a:prstGeom prst="roundRect">
                <a:avLst/>
              </a:prstGeom>
              <a:solidFill>
                <a:srgbClr val="D6CAE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pSp>
            <xdr:nvGrpSpPr>
              <xdr:cNvPr id="28" name="Group 27">
                <a:extLst>
                  <a:ext uri="{FF2B5EF4-FFF2-40B4-BE49-F238E27FC236}">
                    <a16:creationId xmlns:a16="http://schemas.microsoft.com/office/drawing/2014/main" id="{87D1F1BA-5035-69FF-092C-5D68EC88E600}"/>
                  </a:ext>
                </a:extLst>
              </xdr:cNvPr>
              <xdr:cNvGrpSpPr/>
            </xdr:nvGrpSpPr>
            <xdr:grpSpPr>
              <a:xfrm>
                <a:off x="293058" y="228415"/>
                <a:ext cx="1910574" cy="704136"/>
                <a:chOff x="293058" y="228415"/>
                <a:chExt cx="1910574" cy="704136"/>
              </a:xfrm>
              <a:grpFill/>
            </xdr:grpSpPr>
            <xdr:sp macro="" textlink="">
              <xdr:nvSpPr>
                <xdr:cNvPr id="29" name="Rectangle 28">
                  <a:extLst>
                    <a:ext uri="{FF2B5EF4-FFF2-40B4-BE49-F238E27FC236}">
                      <a16:creationId xmlns:a16="http://schemas.microsoft.com/office/drawing/2014/main" id="{1AEB8B60-D6AB-AEC7-DD4C-0E0B2A16BE71}"/>
                    </a:ext>
                  </a:extLst>
                </xdr:cNvPr>
                <xdr:cNvSpPr/>
              </xdr:nvSpPr>
              <xdr:spPr>
                <a:xfrm>
                  <a:off x="824595" y="228415"/>
                  <a:ext cx="1229952" cy="311496"/>
                </a:xfrm>
                <a:prstGeom prst="rect">
                  <a:avLst/>
                </a:prstGeom>
                <a:noFill/>
              </xdr:spPr>
              <xdr:txBody>
                <a:bodyPr wrap="none" lIns="91440" tIns="45720" rIns="91440" bIns="45720" anchor="ctr">
                  <a:no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Total Net Profit Margin</a:t>
                  </a:r>
                </a:p>
              </xdr:txBody>
            </xdr:sp>
            <xdr:sp macro="" textlink="'Staging KPI'!B5">
              <xdr:nvSpPr>
                <xdr:cNvPr id="30" name="Rectangle 29">
                  <a:extLst>
                    <a:ext uri="{FF2B5EF4-FFF2-40B4-BE49-F238E27FC236}">
                      <a16:creationId xmlns:a16="http://schemas.microsoft.com/office/drawing/2014/main" id="{4B50910E-0E47-9E36-5A39-AF2A48E623F4}"/>
                    </a:ext>
                  </a:extLst>
                </xdr:cNvPr>
                <xdr:cNvSpPr/>
              </xdr:nvSpPr>
              <xdr:spPr>
                <a:xfrm>
                  <a:off x="658740" y="527119"/>
                  <a:ext cx="1544892" cy="405432"/>
                </a:xfrm>
                <a:prstGeom prst="rect">
                  <a:avLst/>
                </a:prstGeom>
                <a:noFill/>
              </xdr:spPr>
              <xdr:txBody>
                <a:bodyPr wrap="square" lIns="91440" tIns="45720" rIns="91440" bIns="45720" anchor="ctr">
                  <a:noAutofit/>
                </a:bodyPr>
                <a:lstStyle/>
                <a:p>
                  <a:pPr algn="ctr"/>
                  <a:fld id="{421A78F7-D2DD-408E-9609-99313B2C2166}"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13.7%</a:t>
                  </a:fld>
                  <a:endParaRPr lang="en-US" sz="2000" b="0" cap="none" spc="0">
                    <a:ln w="0"/>
                    <a:solidFill>
                      <a:schemeClr val="tx1"/>
                    </a:solidFill>
                    <a:effectLst>
                      <a:outerShdw blurRad="38100" dist="19050" dir="2700000" algn="tl" rotWithShape="0">
                        <a:schemeClr val="dk1">
                          <a:alpha val="40000"/>
                        </a:schemeClr>
                      </a:outerShdw>
                    </a:effectLst>
                  </a:endParaRPr>
                </a:p>
              </xdr:txBody>
            </xdr:sp>
            <xdr:pic>
              <xdr:nvPicPr>
                <xdr:cNvPr id="31" name="Picture 30">
                  <a:extLst>
                    <a:ext uri="{FF2B5EF4-FFF2-40B4-BE49-F238E27FC236}">
                      <a16:creationId xmlns:a16="http://schemas.microsoft.com/office/drawing/2014/main" id="{FD0D150C-7DF0-7841-059B-BA71094A852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rcRect l="17869" t="17081" r="19244" b="28926"/>
                <a:stretch>
                  <a:fillRect/>
                </a:stretch>
              </xdr:blipFill>
              <xdr:spPr>
                <a:xfrm>
                  <a:off x="293058" y="247449"/>
                  <a:ext cx="320569" cy="294293"/>
                </a:xfrm>
                <a:prstGeom prst="rect">
                  <a:avLst/>
                </a:prstGeom>
                <a:grpFill/>
              </xdr:spPr>
            </xdr:pic>
          </xdr:grpSp>
        </xdr:grpSp>
        <xdr:grpSp>
          <xdr:nvGrpSpPr>
            <xdr:cNvPr id="5" name="Group 4">
              <a:extLst>
                <a:ext uri="{FF2B5EF4-FFF2-40B4-BE49-F238E27FC236}">
                  <a16:creationId xmlns:a16="http://schemas.microsoft.com/office/drawing/2014/main" id="{A5C68A48-8C1C-037B-E5AD-0A9FB7F649BC}"/>
                </a:ext>
              </a:extLst>
            </xdr:cNvPr>
            <xdr:cNvGrpSpPr/>
          </xdr:nvGrpSpPr>
          <xdr:grpSpPr>
            <a:xfrm>
              <a:off x="10062770" y="1501924"/>
              <a:ext cx="2219168" cy="896470"/>
              <a:chOff x="411382" y="106680"/>
              <a:chExt cx="2148840" cy="914400"/>
            </a:xfrm>
            <a:solidFill>
              <a:srgbClr val="EEE6D7"/>
            </a:solidFill>
          </xdr:grpSpPr>
          <xdr:sp macro="" textlink="">
            <xdr:nvSpPr>
              <xdr:cNvPr id="7" name="Rectangle: Rounded Corners 6">
                <a:extLst>
                  <a:ext uri="{FF2B5EF4-FFF2-40B4-BE49-F238E27FC236}">
                    <a16:creationId xmlns:a16="http://schemas.microsoft.com/office/drawing/2014/main" id="{976F201E-8029-8E6D-C326-0A2C5055F72B}"/>
                  </a:ext>
                </a:extLst>
              </xdr:cNvPr>
              <xdr:cNvSpPr/>
            </xdr:nvSpPr>
            <xdr:spPr>
              <a:xfrm>
                <a:off x="411382" y="106680"/>
                <a:ext cx="2148840" cy="914400"/>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grpSp>
            <xdr:nvGrpSpPr>
              <xdr:cNvPr id="8" name="Group 7">
                <a:extLst>
                  <a:ext uri="{FF2B5EF4-FFF2-40B4-BE49-F238E27FC236}">
                    <a16:creationId xmlns:a16="http://schemas.microsoft.com/office/drawing/2014/main" id="{7E5A7FB1-B2FC-2F93-B0E0-F9EFBBD904C0}"/>
                  </a:ext>
                </a:extLst>
              </xdr:cNvPr>
              <xdr:cNvGrpSpPr/>
            </xdr:nvGrpSpPr>
            <xdr:grpSpPr>
              <a:xfrm>
                <a:off x="541020" y="236035"/>
                <a:ext cx="1775460" cy="733092"/>
                <a:chOff x="541020" y="236035"/>
                <a:chExt cx="1775460" cy="733092"/>
              </a:xfrm>
              <a:grpFill/>
            </xdr:grpSpPr>
            <xdr:sp macro="" textlink="">
              <xdr:nvSpPr>
                <xdr:cNvPr id="9" name="Rectangle 8">
                  <a:extLst>
                    <a:ext uri="{FF2B5EF4-FFF2-40B4-BE49-F238E27FC236}">
                      <a16:creationId xmlns:a16="http://schemas.microsoft.com/office/drawing/2014/main" id="{EFA5F9A1-CBD8-515A-54D3-BA7CC5F677C7}"/>
                    </a:ext>
                  </a:extLst>
                </xdr:cNvPr>
                <xdr:cNvSpPr/>
              </xdr:nvSpPr>
              <xdr:spPr>
                <a:xfrm>
                  <a:off x="893786" y="236035"/>
                  <a:ext cx="1229952" cy="311496"/>
                </a:xfrm>
                <a:prstGeom prst="rect">
                  <a:avLst/>
                </a:prstGeom>
                <a:noFill/>
              </xdr:spPr>
              <xdr:txBody>
                <a:bodyPr wrap="none" lIns="91440" tIns="45720" rIns="91440" bIns="45720" anchor="ctr">
                  <a:no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Total</a:t>
                  </a:r>
                  <a:r>
                    <a:rPr lang="en-US" sz="1400" b="0" cap="none" spc="0" baseline="0">
                      <a:ln w="0"/>
                      <a:solidFill>
                        <a:schemeClr val="tx1"/>
                      </a:solidFill>
                      <a:effectLst>
                        <a:outerShdw blurRad="38100" dist="19050" dir="2700000" algn="tl" rotWithShape="0">
                          <a:schemeClr val="dk1">
                            <a:alpha val="40000"/>
                          </a:schemeClr>
                        </a:outerShdw>
                      </a:effectLst>
                    </a:rPr>
                    <a:t> Revenue</a:t>
                  </a:r>
                  <a:endParaRPr lang="en-US" sz="1400" b="0" cap="none" spc="0">
                    <a:ln w="0"/>
                    <a:solidFill>
                      <a:schemeClr val="tx1"/>
                    </a:solidFill>
                    <a:effectLst>
                      <a:outerShdw blurRad="38100" dist="19050" dir="2700000" algn="tl" rotWithShape="0">
                        <a:schemeClr val="dk1">
                          <a:alpha val="40000"/>
                        </a:schemeClr>
                      </a:outerShdw>
                    </a:effectLst>
                  </a:endParaRPr>
                </a:p>
              </xdr:txBody>
            </xdr:sp>
            <xdr:sp macro="" textlink="'Staging KPI'!B2">
              <xdr:nvSpPr>
                <xdr:cNvPr id="10" name="Rectangle 9">
                  <a:extLst>
                    <a:ext uri="{FF2B5EF4-FFF2-40B4-BE49-F238E27FC236}">
                      <a16:creationId xmlns:a16="http://schemas.microsoft.com/office/drawing/2014/main" id="{04E54672-DC3B-2163-C0B2-F4FAB2BF67D4}"/>
                    </a:ext>
                  </a:extLst>
                </xdr:cNvPr>
                <xdr:cNvSpPr/>
              </xdr:nvSpPr>
              <xdr:spPr>
                <a:xfrm>
                  <a:off x="771588" y="563695"/>
                  <a:ext cx="1544892" cy="405432"/>
                </a:xfrm>
                <a:prstGeom prst="rect">
                  <a:avLst/>
                </a:prstGeom>
                <a:noFill/>
              </xdr:spPr>
              <xdr:txBody>
                <a:bodyPr wrap="square" lIns="91440" tIns="45720" rIns="91440" bIns="45720" anchor="ctr">
                  <a:noAutofit/>
                </a:bodyPr>
                <a:lstStyle/>
                <a:p>
                  <a:pPr algn="ctr"/>
                  <a:fld id="{0D445F26-E6A1-43C8-A63B-827659100B93}"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$ 12,213,879</a:t>
                  </a:fld>
                  <a:endParaRPr lang="en-US" sz="2000" b="0" cap="none" spc="0">
                    <a:ln w="0"/>
                    <a:solidFill>
                      <a:schemeClr val="tx1"/>
                    </a:solidFill>
                    <a:effectLst>
                      <a:outerShdw blurRad="38100" dist="19050" dir="2700000" algn="tl" rotWithShape="0">
                        <a:schemeClr val="dk1">
                          <a:alpha val="40000"/>
                        </a:schemeClr>
                      </a:outerShdw>
                    </a:effectLst>
                  </a:endParaRPr>
                </a:p>
              </xdr:txBody>
            </xdr:sp>
            <xdr:pic>
              <xdr:nvPicPr>
                <xdr:cNvPr id="11" name="Picture 10">
                  <a:extLst>
                    <a:ext uri="{FF2B5EF4-FFF2-40B4-BE49-F238E27FC236}">
                      <a16:creationId xmlns:a16="http://schemas.microsoft.com/office/drawing/2014/main" id="{5C90CA87-AFE6-C2B6-ABAD-02C70AC77C5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rcRect l="17869" t="17081" r="19244" b="28926"/>
                <a:stretch>
                  <a:fillRect/>
                </a:stretch>
              </xdr:blipFill>
              <xdr:spPr>
                <a:xfrm>
                  <a:off x="541020" y="266700"/>
                  <a:ext cx="350520" cy="321789"/>
                </a:xfrm>
                <a:prstGeom prst="rect">
                  <a:avLst/>
                </a:prstGeom>
                <a:grpFill/>
              </xdr:spPr>
            </xdr:pic>
          </xdr:grpSp>
        </xdr:grpSp>
        <xdr:grpSp>
          <xdr:nvGrpSpPr>
            <xdr:cNvPr id="33" name="Group 32">
              <a:extLst>
                <a:ext uri="{FF2B5EF4-FFF2-40B4-BE49-F238E27FC236}">
                  <a16:creationId xmlns:a16="http://schemas.microsoft.com/office/drawing/2014/main" id="{ACA75CF5-3F07-F44E-E1E5-EB3B1105AB5B}"/>
                </a:ext>
              </a:extLst>
            </xdr:cNvPr>
            <xdr:cNvGrpSpPr/>
          </xdr:nvGrpSpPr>
          <xdr:grpSpPr>
            <a:xfrm>
              <a:off x="10062768" y="2977739"/>
              <a:ext cx="2219168" cy="896471"/>
              <a:chOff x="369600" y="106680"/>
              <a:chExt cx="2148840" cy="914401"/>
            </a:xfrm>
            <a:solidFill>
              <a:srgbClr val="D3E3F0"/>
            </a:solidFill>
          </xdr:grpSpPr>
          <xdr:sp macro="" textlink="">
            <xdr:nvSpPr>
              <xdr:cNvPr id="40" name="Rectangle: Rounded Corners 39">
                <a:extLst>
                  <a:ext uri="{FF2B5EF4-FFF2-40B4-BE49-F238E27FC236}">
                    <a16:creationId xmlns:a16="http://schemas.microsoft.com/office/drawing/2014/main" id="{20026140-4DCD-39D4-ED86-C3FF7A558E40}"/>
                  </a:ext>
                </a:extLst>
              </xdr:cNvPr>
              <xdr:cNvSpPr/>
            </xdr:nvSpPr>
            <xdr:spPr>
              <a:xfrm>
                <a:off x="369600" y="106680"/>
                <a:ext cx="2148840" cy="914401"/>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accent5">
                      <a:lumMod val="60000"/>
                      <a:lumOff val="40000"/>
                    </a:schemeClr>
                  </a:solidFill>
                </a:endParaRPr>
              </a:p>
            </xdr:txBody>
          </xdr:sp>
          <xdr:grpSp>
            <xdr:nvGrpSpPr>
              <xdr:cNvPr id="44" name="Group 43">
                <a:extLst>
                  <a:ext uri="{FF2B5EF4-FFF2-40B4-BE49-F238E27FC236}">
                    <a16:creationId xmlns:a16="http://schemas.microsoft.com/office/drawing/2014/main" id="{4A30CA4D-2E42-EB7B-DD8C-B1F252C4D710}"/>
                  </a:ext>
                </a:extLst>
              </xdr:cNvPr>
              <xdr:cNvGrpSpPr/>
            </xdr:nvGrpSpPr>
            <xdr:grpSpPr>
              <a:xfrm>
                <a:off x="541020" y="220795"/>
                <a:ext cx="1775460" cy="748332"/>
                <a:chOff x="541020" y="220795"/>
                <a:chExt cx="1775460" cy="748332"/>
              </a:xfrm>
              <a:grpFill/>
            </xdr:grpSpPr>
            <xdr:sp macro="" textlink="">
              <xdr:nvSpPr>
                <xdr:cNvPr id="45" name="Rectangle 44">
                  <a:extLst>
                    <a:ext uri="{FF2B5EF4-FFF2-40B4-BE49-F238E27FC236}">
                      <a16:creationId xmlns:a16="http://schemas.microsoft.com/office/drawing/2014/main" id="{A1D07765-0BCA-F736-5FD2-6422E42F5EBB}"/>
                    </a:ext>
                  </a:extLst>
                </xdr:cNvPr>
                <xdr:cNvSpPr/>
              </xdr:nvSpPr>
              <xdr:spPr>
                <a:xfrm>
                  <a:off x="969986" y="220795"/>
                  <a:ext cx="1229952" cy="311496"/>
                </a:xfrm>
                <a:prstGeom prst="rect">
                  <a:avLst/>
                </a:prstGeom>
                <a:noFill/>
              </xdr:spPr>
              <xdr:txBody>
                <a:bodyPr wrap="none" lIns="91440" tIns="45720" rIns="91440" bIns="45720" anchor="ctr">
                  <a:no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Total</a:t>
                  </a:r>
                  <a:r>
                    <a:rPr lang="en-US" sz="1400" b="0" cap="none" spc="0" baseline="0">
                      <a:ln w="0"/>
                      <a:solidFill>
                        <a:schemeClr val="tx1"/>
                      </a:solidFill>
                      <a:effectLst>
                        <a:outerShdw blurRad="38100" dist="19050" dir="2700000" algn="tl" rotWithShape="0">
                          <a:schemeClr val="dk1">
                            <a:alpha val="40000"/>
                          </a:schemeClr>
                        </a:outerShdw>
                      </a:effectLst>
                    </a:rPr>
                    <a:t> Gross Profit</a:t>
                  </a:r>
                  <a:endParaRPr lang="en-US" sz="1400" b="0" cap="none" spc="0">
                    <a:ln w="0"/>
                    <a:solidFill>
                      <a:schemeClr val="tx1"/>
                    </a:solidFill>
                    <a:effectLst>
                      <a:outerShdw blurRad="38100" dist="19050" dir="2700000" algn="tl" rotWithShape="0">
                        <a:schemeClr val="dk1">
                          <a:alpha val="40000"/>
                        </a:schemeClr>
                      </a:outerShdw>
                    </a:effectLst>
                  </a:endParaRPr>
                </a:p>
              </xdr:txBody>
            </xdr:sp>
            <xdr:sp macro="" textlink="'Staging KPI'!Z31">
              <xdr:nvSpPr>
                <xdr:cNvPr id="46" name="Rectangle 45">
                  <a:extLst>
                    <a:ext uri="{FF2B5EF4-FFF2-40B4-BE49-F238E27FC236}">
                      <a16:creationId xmlns:a16="http://schemas.microsoft.com/office/drawing/2014/main" id="{49C4005E-F429-AFCB-FFEF-E4DFB90415D8}"/>
                    </a:ext>
                  </a:extLst>
                </xdr:cNvPr>
                <xdr:cNvSpPr/>
              </xdr:nvSpPr>
              <xdr:spPr>
                <a:xfrm>
                  <a:off x="771588" y="563695"/>
                  <a:ext cx="1544892" cy="405432"/>
                </a:xfrm>
                <a:prstGeom prst="rect">
                  <a:avLst/>
                </a:prstGeom>
                <a:noFill/>
              </xdr:spPr>
              <xdr:txBody>
                <a:bodyPr wrap="square" lIns="91440" tIns="45720" rIns="91440" bIns="45720" anchor="ctr">
                  <a:noAutofit/>
                </a:bodyPr>
                <a:lstStyle/>
                <a:p>
                  <a:pPr algn="ctr"/>
                  <a:fld id="{F3754B69-A8AD-4324-95F6-220F8B9D8445}"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a:t>
                  </a:fld>
                  <a:endParaRPr lang="en-US" sz="2000" b="0" cap="none" spc="0">
                    <a:ln w="0"/>
                    <a:solidFill>
                      <a:schemeClr val="tx1"/>
                    </a:solidFill>
                    <a:effectLst>
                      <a:outerShdw blurRad="38100" dist="19050" dir="2700000" algn="tl" rotWithShape="0">
                        <a:schemeClr val="dk1">
                          <a:alpha val="40000"/>
                        </a:schemeClr>
                      </a:outerShdw>
                    </a:effectLst>
                  </a:endParaRPr>
                </a:p>
              </xdr:txBody>
            </xdr:sp>
            <xdr:pic>
              <xdr:nvPicPr>
                <xdr:cNvPr id="47" name="Picture 46">
                  <a:extLst>
                    <a:ext uri="{FF2B5EF4-FFF2-40B4-BE49-F238E27FC236}">
                      <a16:creationId xmlns:a16="http://schemas.microsoft.com/office/drawing/2014/main" id="{8BEC0ADF-44B5-4B72-5E51-82373A7E00C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rcRect l="17869" t="17081" r="19244" b="28926"/>
                <a:stretch>
                  <a:fillRect/>
                </a:stretch>
              </xdr:blipFill>
              <xdr:spPr>
                <a:xfrm>
                  <a:off x="541020" y="266700"/>
                  <a:ext cx="350520" cy="321789"/>
                </a:xfrm>
                <a:prstGeom prst="rect">
                  <a:avLst/>
                </a:prstGeom>
                <a:grpFill/>
              </xdr:spPr>
            </xdr:pic>
          </xdr:grpSp>
        </xdr:grpSp>
      </xdr:grpSp>
      <xdr:sp macro="" textlink="'Staging KPI'!B3">
        <xdr:nvSpPr>
          <xdr:cNvPr id="2" name="Rectangle 1">
            <a:extLst>
              <a:ext uri="{FF2B5EF4-FFF2-40B4-BE49-F238E27FC236}">
                <a16:creationId xmlns:a16="http://schemas.microsoft.com/office/drawing/2014/main" id="{8A31CABF-DC57-4B6E-A626-17FCD3C1FA5E}"/>
              </a:ext>
            </a:extLst>
          </xdr:cNvPr>
          <xdr:cNvSpPr/>
        </xdr:nvSpPr>
        <xdr:spPr>
          <a:xfrm>
            <a:off x="10454654" y="3485045"/>
            <a:ext cx="1594073" cy="410394"/>
          </a:xfrm>
          <a:prstGeom prst="rect">
            <a:avLst/>
          </a:prstGeom>
          <a:noFill/>
        </xdr:spPr>
        <xdr:txBody>
          <a:bodyPr wrap="square" lIns="91440" tIns="45720" rIns="91440" bIns="45720" anchor="ctr">
            <a:noAutofit/>
          </a:bodyPr>
          <a:lstStyle/>
          <a:p>
            <a:pPr algn="ctr"/>
            <a:fld id="{A904B139-CC85-4A6D-9CDC-D01AE1F2E3EE}"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$ 6,018,738</a:t>
            </a:fld>
            <a:endParaRPr lang="en-US" sz="20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0.597092129632" createdVersion="8" refreshedVersion="8" minRefreshableVersion="3" recordCount="161" xr:uid="{2BCE4ED3-286E-47F5-8F7A-79423DC6C06E}">
  <cacheSource type="worksheet">
    <worksheetSource ref="A1:Z162" sheet="Data Cleaning"/>
  </cacheSource>
  <cacheFields count="26">
    <cacheField name="Year" numFmtId="0">
      <sharedItems containsSemiMixedTypes="0" containsString="0" containsNumber="1" containsInteger="1" minValue="2009" maxValue="2023" count="15">
        <n v="2022"/>
        <n v="2021"/>
        <n v="2020"/>
        <n v="2019"/>
        <n v="2018"/>
        <n v="2017"/>
        <n v="2016"/>
        <n v="2015"/>
        <n v="2014"/>
        <n v="2013"/>
        <n v="2012"/>
        <n v="2011"/>
        <n v="2010"/>
        <n v="2009"/>
        <n v="2023"/>
      </sharedItems>
    </cacheField>
    <cacheField name="Company " numFmtId="0">
      <sharedItems count="12">
        <s v="AAPL"/>
        <s v="MSFT"/>
        <s v="GOOG"/>
        <s v="PYPL"/>
        <s v="AIG"/>
        <s v="PCG"/>
        <s v="SHLDQ"/>
        <s v="MCD"/>
        <s v="BCS"/>
        <s v="NVDA"/>
        <s v="INTC"/>
        <s v="AMZN"/>
      </sharedItems>
    </cacheField>
    <cacheField name="Category" numFmtId="0">
      <sharedItems count="8">
        <s v="IT"/>
        <s v="FinTech"/>
        <s v="Bank"/>
        <s v="Manufacturing"/>
        <s v="Finance"/>
        <s v="FOOD"/>
        <s v="ELEC"/>
        <s v="LOGI"/>
      </sharedItems>
    </cacheField>
    <cacheField name="Market Cap(in B USD)" numFmtId="4">
      <sharedItems containsSemiMixedTypes="0" containsString="0" containsNumber="1" minValue="0.04" maxValue="2913.28"/>
    </cacheField>
    <cacheField name="Revenue" numFmtId="3">
      <sharedItems containsSemiMixedTypes="0" containsString="0" containsNumber="1" minValue="3326.4450000000002" maxValue="513983"/>
    </cacheField>
    <cacheField name="Gross Profit" numFmtId="3">
      <sharedItems containsSemiMixedTypes="0" containsString="0" containsNumber="1" minValue="1174.269" maxValue="225152"/>
    </cacheField>
    <cacheField name="Net Income" numFmtId="3">
      <sharedItems containsSemiMixedTypes="0" containsString="0" containsNumber="1" minValue="-12244" maxValue="99803"/>
    </cacheField>
    <cacheField name="Earning Per Share" numFmtId="4">
      <sharedItems containsSemiMixedTypes="0" containsString="0" containsNumber="1" minValue="-90.48" maxValue="14.98"/>
    </cacheField>
    <cacheField name="EBITDA" numFmtId="3">
      <sharedItems containsSemiMixedTypes="0" containsString="0" containsNumber="1" minValue="-6860" maxValue="130541"/>
    </cacheField>
    <cacheField name="Share Holder Equity" numFmtId="3">
      <sharedItems containsSemiMixedTypes="0" containsString="0" containsNumber="1" minValue="-8210.2999999999993" maxValue="256144"/>
    </cacheField>
    <cacheField name="Cash Flow from Operating" numFmtId="3">
      <sharedItems containsSemiMixedTypes="0" containsString="0" containsNumber="1" minValue="-39392.269999999997" maxValue="122151"/>
    </cacheField>
    <cacheField name="Cash Flow from Investing" numFmtId="3">
      <sharedItems containsSemiMixedTypes="0" containsString="0" containsNumber="1" minValue="-59611" maxValue="49749"/>
    </cacheField>
    <cacheField name="Cash Flow from Financial Activities" numFmtId="3">
      <sharedItems containsSemiMixedTypes="0" containsString="0" containsNumber="1" minValue="-110749" maxValue="25928"/>
    </cacheField>
    <cacheField name="Current Ratio" numFmtId="4">
      <sharedItems containsSemiMixedTypes="0" containsString="0" containsNumber="1" minValue="0.2205" maxValue="10.617800000000001"/>
    </cacheField>
    <cacheField name="Debt/Equity Ratio" numFmtId="4">
      <sharedItems containsSemiMixedTypes="0" containsString="0" containsNumber="1" minValue="-11.775" maxValue="9.3328000000000007"/>
    </cacheField>
    <cacheField name="ROE" numFmtId="43">
      <sharedItems containsSemiMixedTypes="0" containsString="0" containsNumber="1" minValue="-212.6069" maxValue="196.9589"/>
    </cacheField>
    <cacheField name="ROA" numFmtId="43">
      <sharedItems containsSemiMixedTypes="0" containsString="0" containsNumber="1" minValue="-23.723600000000001" maxValue="31.1541"/>
    </cacheField>
    <cacheField name="ROI" numFmtId="4">
      <sharedItems containsSemiMixedTypes="0" containsString="0" containsNumber="1" minValue="-742.10519999999997" maxValue="884.8605"/>
    </cacheField>
    <cacheField name="Net Profit Margin" numFmtId="4">
      <sharedItems containsSemiMixedTypes="0" containsString="0" containsNumber="1" minValue="-44.696100000000001" maxValue="36.686300000000003"/>
    </cacheField>
    <cacheField name="Free Cash Flow per Share" numFmtId="4">
      <sharedItems containsSemiMixedTypes="0" containsString="0" containsNumber="1" minValue="-121.5022" maxValue="137.3287"/>
    </cacheField>
    <cacheField name="Return on Tangible Equity" numFmtId="4">
      <sharedItems containsSemiMixedTypes="0" containsString="0" containsNumber="1" minValue="-554.17409999999995" maxValue="1197.7270000000001"/>
    </cacheField>
    <cacheField name="Number of Employees" numFmtId="3">
      <sharedItems containsSemiMixedTypes="0" containsString="0" containsNumber="1" containsInteger="1" minValue="5420" maxValue="1608000"/>
    </cacheField>
    <cacheField name="Inflation Rate(in US)" numFmtId="4">
      <sharedItems containsSemiMixedTypes="0" containsString="0" containsNumber="1" minValue="-0.35549999999999998" maxValue="8.0028000000000006"/>
    </cacheField>
    <cacheField name="COGS" numFmtId="3">
      <sharedItems containsSemiMixedTypes="0" containsString="0" containsNumber="1" minValue="0" maxValue="288831"/>
    </cacheField>
    <cacheField name="OPEX_Other" numFmtId="3">
      <sharedItems containsSemiMixedTypes="0" containsString="0" containsNumber="1" minValue="-1118" maxValue="227874"/>
    </cacheField>
    <cacheField name="null check"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753433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x v="0"/>
    <x v="0"/>
    <n v="2066.94"/>
    <n v="394328"/>
    <n v="170782"/>
    <n v="99803"/>
    <n v="6.11"/>
    <n v="130541"/>
    <n v="50672"/>
    <n v="122151"/>
    <n v="-22354"/>
    <n v="-110749"/>
    <n v="0.87939999999999996"/>
    <n v="2.3694999999999999"/>
    <n v="196.9589"/>
    <n v="28.292400000000001"/>
    <n v="66.699399999999997"/>
    <n v="25.3096"/>
    <n v="1.3146"/>
    <n v="196.9589"/>
    <n v="164000"/>
    <n v="8.0028000000000006"/>
    <n v="223546"/>
    <n v="70979"/>
    <n v="0"/>
  </r>
  <r>
    <x v="1"/>
    <x v="0"/>
    <x v="0"/>
    <n v="2913.28"/>
    <n v="365817"/>
    <n v="152836"/>
    <n v="94680"/>
    <n v="5.61"/>
    <n v="120233"/>
    <n v="63090"/>
    <n v="104038"/>
    <n v="-14545"/>
    <n v="-93353"/>
    <n v="1.0746"/>
    <n v="1.9767999999999999"/>
    <n v="150.07130000000001"/>
    <n v="26.9742"/>
    <n v="54.983899999999998"/>
    <n v="25.881799999999998"/>
    <n v="1.3261000000000001"/>
    <n v="150.07130000000001"/>
    <n v="154000"/>
    <n v="4.6978999999999997"/>
    <n v="212981"/>
    <n v="58156"/>
    <n v="0"/>
  </r>
  <r>
    <x v="2"/>
    <x v="0"/>
    <x v="0"/>
    <n v="2255.9699999999998"/>
    <n v="274515"/>
    <n v="104956"/>
    <n v="57411"/>
    <n v="3.28"/>
    <n v="77344"/>
    <n v="65339"/>
    <n v="80674"/>
    <n v="-4289"/>
    <n v="-86820"/>
    <n v="1.3635999999999999"/>
    <n v="1.7208000000000001"/>
    <n v="87.866399999999999"/>
    <n v="17.7256"/>
    <n v="35.005400000000002"/>
    <n v="20.913599999999999"/>
    <n v="1.0183"/>
    <n v="87.866399999999999"/>
    <n v="147000"/>
    <n v="1.2336"/>
    <n v="169559"/>
    <n v="47545"/>
    <n v="0"/>
  </r>
  <r>
    <x v="3"/>
    <x v="0"/>
    <x v="0"/>
    <n v="1304.76"/>
    <n v="260174"/>
    <n v="98392"/>
    <n v="55256"/>
    <n v="2.97"/>
    <n v="76477"/>
    <n v="90488"/>
    <n v="69391"/>
    <n v="45896"/>
    <n v="-90976"/>
    <n v="1.5401"/>
    <n v="1.194"/>
    <n v="61.064500000000002"/>
    <n v="16.323"/>
    <n v="30.311299999999999"/>
    <n v="21.238099999999999"/>
    <n v="-3.8800000000000001E-2"/>
    <n v="61.064500000000002"/>
    <n v="137000"/>
    <n v="1.8122"/>
    <n v="161782"/>
    <n v="43136"/>
    <n v="0"/>
  </r>
  <r>
    <x v="4"/>
    <x v="0"/>
    <x v="0"/>
    <n v="748.54"/>
    <n v="265595"/>
    <n v="101839"/>
    <n v="59531"/>
    <n v="2.98"/>
    <n v="81801"/>
    <n v="107147"/>
    <n v="77434"/>
    <n v="16066"/>
    <n v="-87876"/>
    <n v="1.1329"/>
    <n v="1.0685"/>
    <n v="55.560099999999998"/>
    <n v="16.2775"/>
    <n v="29.634799999999998"/>
    <n v="22.414200000000001"/>
    <n v="0.74139999999999995"/>
    <n v="55.560099999999998"/>
    <n v="132000"/>
    <n v="2.4426000000000001"/>
    <n v="163756"/>
    <n v="42308"/>
    <n v="0"/>
  </r>
  <r>
    <x v="5"/>
    <x v="0"/>
    <x v="0"/>
    <n v="868.87"/>
    <n v="229234"/>
    <n v="88186"/>
    <n v="48351"/>
    <n v="2.3025000000000002"/>
    <n v="71501"/>
    <n v="134047"/>
    <n v="64225"/>
    <n v="-46446"/>
    <n v="-17974"/>
    <n v="1.2761"/>
    <n v="0.86299999999999999"/>
    <n v="36.0702"/>
    <n v="12.8826"/>
    <n v="20.908200000000001"/>
    <n v="21.092400000000001"/>
    <n v="3.3000000000000002E-2"/>
    <n v="36.0702"/>
    <n v="123000"/>
    <n v="2.1301000000000001"/>
    <n v="141048"/>
    <n v="39835"/>
    <n v="0"/>
  </r>
  <r>
    <x v="6"/>
    <x v="0"/>
    <x v="0"/>
    <n v="617.59"/>
    <n v="215639"/>
    <n v="84263"/>
    <n v="45687"/>
    <n v="2.0775000000000001"/>
    <n v="70529"/>
    <n v="128249"/>
    <n v="66231"/>
    <n v="-45977"/>
    <n v="-20890"/>
    <n v="1.3527"/>
    <n v="0.67859999999999998"/>
    <n v="35.623699999999999"/>
    <n v="14.202400000000001"/>
    <n v="22.4312"/>
    <n v="21.186800000000002"/>
    <n v="-0.59009999999999996"/>
    <n v="38.190600000000003"/>
    <n v="116000"/>
    <n v="1.2616000000000001"/>
    <n v="131376"/>
    <n v="38576"/>
    <n v="0"/>
  </r>
  <r>
    <x v="7"/>
    <x v="0"/>
    <x v="0"/>
    <n v="586.86"/>
    <n v="233715"/>
    <n v="93626"/>
    <n v="53394"/>
    <n v="2.3050000000000002"/>
    <n v="82487"/>
    <n v="119355"/>
    <n v="81266"/>
    <n v="-56274"/>
    <n v="-17716"/>
    <n v="1.1088"/>
    <n v="0.53900000000000003"/>
    <n v="44.735500000000002"/>
    <n v="18.389900000000001"/>
    <n v="30.920100000000001"/>
    <n v="22.845800000000001"/>
    <n v="0.97430000000000005"/>
    <n v="48.387799999999999"/>
    <n v="110000"/>
    <n v="0.1186"/>
    <n v="140089"/>
    <n v="40232"/>
    <n v="0"/>
  </r>
  <r>
    <x v="8"/>
    <x v="0"/>
    <x v="0"/>
    <n v="647.36"/>
    <n v="182795"/>
    <n v="70537"/>
    <n v="39510"/>
    <n v="1.6125"/>
    <n v="60449"/>
    <n v="111547"/>
    <n v="59713"/>
    <n v="-22579"/>
    <n v="-37549"/>
    <n v="1.0801000000000001"/>
    <n v="0.31640000000000001"/>
    <n v="35.420099999999998"/>
    <n v="17.042000000000002"/>
    <n v="28.1142"/>
    <n v="21.6144"/>
    <n v="0.30320000000000003"/>
    <n v="38.438000000000002"/>
    <n v="97000"/>
    <n v="1.6222000000000001"/>
    <n v="112258"/>
    <n v="31027"/>
    <n v="0"/>
  </r>
  <r>
    <x v="9"/>
    <x v="0"/>
    <x v="0"/>
    <n v="504.79"/>
    <n v="170910"/>
    <n v="64304"/>
    <n v="37037"/>
    <n v="1.42"/>
    <n v="55756"/>
    <n v="123549"/>
    <n v="53666"/>
    <n v="-33774"/>
    <n v="-16379"/>
    <n v="1.6786000000000001"/>
    <n v="0.13730000000000001"/>
    <n v="29.977599999999999"/>
    <n v="17.892299999999999"/>
    <n v="26.359200000000001"/>
    <n v="21.670500000000001"/>
    <n v="0.1363"/>
    <n v="31.442499999999999"/>
    <n v="84400"/>
    <n v="1.4648000000000001"/>
    <n v="106606"/>
    <n v="27267"/>
    <n v="0"/>
  </r>
  <r>
    <x v="10"/>
    <x v="0"/>
    <x v="0"/>
    <n v="500.61"/>
    <n v="156508"/>
    <n v="68662"/>
    <n v="41733"/>
    <n v="1.5774999999999999"/>
    <n v="58518"/>
    <n v="118210"/>
    <n v="50856"/>
    <n v="-48227"/>
    <n v="-1698"/>
    <n v="1.4958"/>
    <n v="0"/>
    <n v="35.304099999999998"/>
    <n v="23.703299999999999"/>
    <n v="35.304099999999998"/>
    <n v="26.665099999999999"/>
    <n v="0.33939999999999998"/>
    <n v="36.980600000000003"/>
    <n v="76100"/>
    <n v="2.0693000000000001"/>
    <n v="87846"/>
    <n v="26929"/>
    <n v="0"/>
  </r>
  <r>
    <x v="11"/>
    <x v="0"/>
    <x v="0"/>
    <n v="376.4"/>
    <n v="108249"/>
    <n v="43818"/>
    <n v="25922"/>
    <n v="0.98860000000000003"/>
    <n v="35604"/>
    <n v="76615"/>
    <n v="37529"/>
    <n v="-40419"/>
    <n v="1444"/>
    <n v="1.6084000000000001"/>
    <n v="0"/>
    <n v="33.834099999999999"/>
    <n v="22.275300000000001"/>
    <n v="33.834099999999999"/>
    <n v="23.9466"/>
    <n v="0.62780000000000002"/>
    <n v="35.911499999999997"/>
    <n v="63300"/>
    <n v="3.1568000000000001"/>
    <n v="64431"/>
    <n v="17896"/>
    <n v="0"/>
  </r>
  <r>
    <x v="12"/>
    <x v="0"/>
    <x v="0"/>
    <n v="296.89"/>
    <n v="65225"/>
    <n v="25684"/>
    <n v="14013"/>
    <n v="0.54110000000000003"/>
    <n v="19412"/>
    <n v="47791"/>
    <n v="18595"/>
    <n v="-13854"/>
    <n v="1257"/>
    <n v="2.0112999999999999"/>
    <n v="0"/>
    <n v="29.321400000000001"/>
    <n v="18.638500000000001"/>
    <n v="29.321400000000001"/>
    <n v="21.484100000000002"/>
    <n v="0.28570000000000001"/>
    <n v="30.001300000000001"/>
    <n v="49400"/>
    <n v="1.64"/>
    <n v="39541"/>
    <n v="11671"/>
    <n v="0"/>
  </r>
  <r>
    <x v="13"/>
    <x v="0"/>
    <x v="0"/>
    <n v="189.8"/>
    <n v="42905"/>
    <n v="17222"/>
    <n v="8235"/>
    <n v="0.32429999999999998"/>
    <n v="12474"/>
    <n v="31640"/>
    <n v="10159"/>
    <n v="-17434"/>
    <n v="663"/>
    <n v="2.7425000000000002"/>
    <n v="0"/>
    <n v="26.027200000000001"/>
    <n v="17.336500000000001"/>
    <n v="26.027200000000001"/>
    <n v="19.1936"/>
    <n v="0.35499999999999998"/>
    <n v="26.405200000000001"/>
    <n v="36800"/>
    <n v="-0.35549999999999998"/>
    <n v="25683"/>
    <n v="8987"/>
    <n v="0"/>
  </r>
  <r>
    <x v="14"/>
    <x v="1"/>
    <x v="0"/>
    <n v="2451.23"/>
    <n v="211915"/>
    <n v="146052"/>
    <n v="72361"/>
    <n v="9.68"/>
    <n v="102384"/>
    <n v="206223"/>
    <n v="87582"/>
    <n v="-22680"/>
    <n v="-43935"/>
    <n v="1.7692000000000001"/>
    <n v="0.2291"/>
    <n v="35.088700000000003"/>
    <n v="17.564399999999999"/>
    <n v="29.152799999999999"/>
    <n v="34.1462"/>
    <n v="-0.68079999999999996"/>
    <n v="56.106400000000001"/>
    <n v="221000"/>
    <n v="3.7"/>
    <n v="65863"/>
    <n v="73691"/>
    <n v="0"/>
  </r>
  <r>
    <x v="0"/>
    <x v="1"/>
    <x v="0"/>
    <n v="1787.73"/>
    <n v="198270"/>
    <n v="135620"/>
    <n v="72738"/>
    <n v="9.65"/>
    <n v="97843"/>
    <n v="166542"/>
    <n v="89035"/>
    <n v="-30311"/>
    <n v="-58876"/>
    <n v="1.7846"/>
    <n v="0.2989"/>
    <n v="43.6755"/>
    <n v="19.937000000000001"/>
    <n v="34.057499999999997"/>
    <n v="36.686300000000003"/>
    <n v="1.2643"/>
    <n v="82.920699999999997"/>
    <n v="221000"/>
    <n v="8.0028000000000006"/>
    <n v="62650"/>
    <n v="62882"/>
    <n v="0"/>
  </r>
  <r>
    <x v="1"/>
    <x v="1"/>
    <x v="0"/>
    <n v="2525.08"/>
    <n v="168088"/>
    <n v="115856"/>
    <n v="61271"/>
    <n v="8.0500000000000007"/>
    <n v="81602"/>
    <n v="141988"/>
    <n v="76740"/>
    <n v="-27577"/>
    <n v="-48486"/>
    <n v="2.08"/>
    <n v="0.40949999999999998"/>
    <n v="43.152200000000001"/>
    <n v="18.3568"/>
    <n v="31.901700000000002"/>
    <n v="36.451700000000002"/>
    <n v="1.4886999999999999"/>
    <n v="72.529799999999994"/>
    <n v="181000"/>
    <n v="4.6978999999999997"/>
    <n v="52232"/>
    <n v="54585"/>
    <n v="0"/>
  </r>
  <r>
    <x v="2"/>
    <x v="1"/>
    <x v="0"/>
    <n v="1681.61"/>
    <n v="143015"/>
    <n v="96937"/>
    <n v="44281"/>
    <n v="5.76"/>
    <n v="65755"/>
    <n v="118304"/>
    <n v="60675"/>
    <n v="-12223"/>
    <n v="-46031"/>
    <n v="2.5158"/>
    <n v="0.5353"/>
    <n v="37.4298"/>
    <n v="14.696099999999999"/>
    <n v="24.8935"/>
    <n v="30.962499999999999"/>
    <n v="0.9526"/>
    <n v="65.200599999999994"/>
    <n v="163000"/>
    <n v="1.2336"/>
    <n v="46078"/>
    <n v="52656"/>
    <n v="0"/>
  </r>
  <r>
    <x v="3"/>
    <x v="1"/>
    <x v="0"/>
    <n v="1203.06"/>
    <n v="125843"/>
    <n v="82933"/>
    <n v="39240"/>
    <n v="5.0599999999999996"/>
    <n v="54641"/>
    <n v="102330"/>
    <n v="52185"/>
    <n v="-15773"/>
    <n v="-36887"/>
    <n v="2.5287999999999999"/>
    <n v="0.70530000000000004"/>
    <n v="38.346499999999999"/>
    <n v="13.6937"/>
    <n v="23.22"/>
    <n v="31.181699999999999"/>
    <n v="0.79679999999999995"/>
    <n v="74.6661"/>
    <n v="144000"/>
    <n v="1.8122"/>
    <n v="42910"/>
    <n v="43693"/>
    <n v="0"/>
  </r>
  <r>
    <x v="4"/>
    <x v="1"/>
    <x v="0"/>
    <n v="779.67"/>
    <n v="110360"/>
    <n v="72007"/>
    <n v="16571"/>
    <n v="2.13"/>
    <n v="45319"/>
    <n v="82718"/>
    <n v="43884"/>
    <n v="-6061"/>
    <n v="-33590"/>
    <n v="2.9007999999999998"/>
    <n v="0.92169999999999996"/>
    <n v="20.033100000000001"/>
    <n v="6.4017999999999997"/>
    <n v="10.6937"/>
    <n v="15.0154"/>
    <n v="0.13170000000000001"/>
    <n v="42.509399999999999"/>
    <n v="131000"/>
    <n v="2.4426000000000001"/>
    <n v="38353"/>
    <n v="55436"/>
    <n v="0"/>
  </r>
  <r>
    <x v="5"/>
    <x v="1"/>
    <x v="0"/>
    <n v="659.91"/>
    <n v="96571"/>
    <n v="62310"/>
    <n v="25489"/>
    <n v="3.25"/>
    <n v="37803"/>
    <n v="87711"/>
    <n v="39507"/>
    <n v="-46781"/>
    <n v="8408"/>
    <n v="2.9186000000000001"/>
    <n v="0.98270000000000002"/>
    <n v="29.060199999999998"/>
    <n v="10.1829"/>
    <n v="15.5626"/>
    <n v="26.394100000000002"/>
    <n v="0.88870000000000005"/>
    <n v="59.998100000000001"/>
    <n v="124000"/>
    <n v="2.1301000000000001"/>
    <n v="34261"/>
    <n v="36821"/>
    <n v="0"/>
  </r>
  <r>
    <x v="6"/>
    <x v="1"/>
    <x v="0"/>
    <n v="483.16"/>
    <n v="91154"/>
    <n v="58374"/>
    <n v="20539"/>
    <n v="2.56"/>
    <n v="33330"/>
    <n v="71997"/>
    <n v="33325"/>
    <n v="-23950"/>
    <n v="-8393"/>
    <n v="2.3529"/>
    <n v="0.74250000000000005"/>
    <n v="28.5276"/>
    <n v="10.616199999999999"/>
    <n v="18.248100000000001"/>
    <n v="22.5322"/>
    <n v="0.24349999999999999"/>
    <n v="40.758499999999998"/>
    <n v="114000"/>
    <n v="1.2616000000000001"/>
    <n v="32780"/>
    <n v="37835"/>
    <n v="0"/>
  </r>
  <r>
    <x v="7"/>
    <x v="1"/>
    <x v="0"/>
    <n v="443.17"/>
    <n v="93580"/>
    <n v="60542"/>
    <n v="12193"/>
    <n v="1.48"/>
    <n v="31616"/>
    <n v="80083"/>
    <n v="29668"/>
    <n v="-23001"/>
    <n v="-9668"/>
    <n v="2.4733999999999998"/>
    <n v="0.44069999999999998"/>
    <n v="15.2255"/>
    <n v="6.9885000000000002"/>
    <n v="11.3012"/>
    <n v="13.029500000000001"/>
    <n v="-0.34250000000000003"/>
    <n v="20.911000000000001"/>
    <n v="118000"/>
    <n v="0.1186"/>
    <n v="33038"/>
    <n v="48349"/>
    <n v="0"/>
  </r>
  <r>
    <x v="8"/>
    <x v="1"/>
    <x v="0"/>
    <n v="382.88"/>
    <n v="86833"/>
    <n v="59755"/>
    <n v="22074"/>
    <n v="2.63"/>
    <n v="32971"/>
    <n v="89784"/>
    <n v="32502"/>
    <n v="-18833"/>
    <n v="-8665"/>
    <n v="2.504"/>
    <n v="0.25219999999999998"/>
    <n v="24.585699999999999"/>
    <n v="12.805099999999999"/>
    <n v="19.9893"/>
    <n v="25.421199999999999"/>
    <n v="0.31519999999999998"/>
    <n v="35.219200000000001"/>
    <n v="128000"/>
    <n v="1.6222000000000001"/>
    <n v="27078"/>
    <n v="37681"/>
    <n v="0"/>
  </r>
  <r>
    <x v="9"/>
    <x v="1"/>
    <x v="0"/>
    <n v="312.3"/>
    <n v="77849"/>
    <n v="57464"/>
    <n v="21863"/>
    <n v="2.58"/>
    <n v="30519"/>
    <n v="78944"/>
    <n v="28833"/>
    <n v="-23811"/>
    <n v="-8148"/>
    <n v="2.7118000000000002"/>
    <n v="0.1976"/>
    <n v="27.694299999999998"/>
    <n v="15.3499"/>
    <n v="23.882200000000001"/>
    <n v="28.0839"/>
    <n v="-0.54559999999999997"/>
    <n v="35.720399999999998"/>
    <n v="118000"/>
    <n v="1.4648000000000001"/>
    <n v="20385"/>
    <n v="35601"/>
    <n v="0"/>
  </r>
  <r>
    <x v="10"/>
    <x v="1"/>
    <x v="0"/>
    <n v="224.8"/>
    <n v="73723"/>
    <n v="56193"/>
    <n v="16978"/>
    <n v="2"/>
    <n v="30923"/>
    <n v="66363"/>
    <n v="31626"/>
    <n v="-24786"/>
    <n v="-9408"/>
    <n v="2.6029"/>
    <n v="0.18"/>
    <n v="25.583500000000001"/>
    <n v="14.0001"/>
    <n v="22.0276"/>
    <n v="23.029499999999999"/>
    <n v="0.57979999999999998"/>
    <n v="34.132800000000003"/>
    <n v="128000"/>
    <n v="2.0693000000000001"/>
    <n v="17530"/>
    <n v="39215"/>
    <n v="0"/>
  </r>
  <r>
    <x v="11"/>
    <x v="1"/>
    <x v="0"/>
    <n v="218.38"/>
    <n v="69943"/>
    <n v="54366"/>
    <n v="23150"/>
    <n v="2.69"/>
    <n v="29927"/>
    <n v="57083"/>
    <n v="26994"/>
    <n v="-14616"/>
    <n v="-8376"/>
    <n v="2.6036999999999999"/>
    <n v="0.20880000000000001"/>
    <n v="40.555"/>
    <n v="21.296399999999998"/>
    <n v="33.5488"/>
    <n v="33.098399999999998"/>
    <n v="0.3921"/>
    <n v="52.904600000000002"/>
    <n v="99000"/>
    <n v="3.1568000000000001"/>
    <n v="15577"/>
    <n v="31216"/>
    <n v="0"/>
  </r>
  <r>
    <x v="12"/>
    <x v="1"/>
    <x v="0"/>
    <n v="238.78"/>
    <n v="62484"/>
    <n v="50089"/>
    <n v="18760"/>
    <n v="2.1"/>
    <n v="26771"/>
    <n v="46175"/>
    <n v="24073"/>
    <n v="-11314"/>
    <n v="-13291"/>
    <n v="2.1293000000000002"/>
    <n v="0.12859999999999999"/>
    <n v="40.628"/>
    <n v="21.785299999999999"/>
    <n v="36.702300000000001"/>
    <n v="30.023700000000002"/>
    <n v="0.70569999999999999"/>
    <n v="57.505400000000002"/>
    <n v="94000"/>
    <n v="1.64"/>
    <n v="12395"/>
    <n v="31329"/>
    <n v="0"/>
  </r>
  <r>
    <x v="13"/>
    <x v="1"/>
    <x v="0"/>
    <n v="270.64"/>
    <n v="58437"/>
    <n v="46282"/>
    <n v="14569"/>
    <n v="1.62"/>
    <n v="22925"/>
    <n v="39558"/>
    <n v="19037"/>
    <n v="-15770"/>
    <n v="-7463"/>
    <n v="1.8229"/>
    <n v="0.14530000000000001"/>
    <n v="36.829500000000003"/>
    <n v="18.705100000000002"/>
    <n v="33.643500000000003"/>
    <n v="24.931100000000001"/>
    <n v="1.7695000000000001"/>
    <n v="57.594099999999997"/>
    <n v="90000"/>
    <n v="-0.35549999999999998"/>
    <n v="12155"/>
    <n v="31713"/>
    <n v="0"/>
  </r>
  <r>
    <x v="0"/>
    <x v="2"/>
    <x v="0"/>
    <n v="1144.3499999999999"/>
    <n v="282836"/>
    <n v="156633"/>
    <n v="59972"/>
    <n v="4.5599999999999996"/>
    <n v="90770"/>
    <n v="256144"/>
    <n v="91495"/>
    <n v="-20298"/>
    <n v="-69757"/>
    <n v="2.3780000000000001"/>
    <n v="5.74E-2"/>
    <n v="23.413399999999999"/>
    <n v="16.418800000000001"/>
    <n v="22.142600000000002"/>
    <n v="21.203800000000001"/>
    <n v="-0.36130000000000001"/>
    <n v="26.642399999999999"/>
    <n v="190234"/>
    <n v="8.0028000000000006"/>
    <n v="126203"/>
    <n v="96661"/>
    <n v="0"/>
  </r>
  <r>
    <x v="1"/>
    <x v="2"/>
    <x v="0"/>
    <n v="1910.26"/>
    <n v="257637"/>
    <n v="146698"/>
    <n v="76033"/>
    <n v="5.61"/>
    <n v="91155"/>
    <n v="251635"/>
    <n v="91652"/>
    <n v="-35523"/>
    <n v="-61362"/>
    <n v="2.9281000000000001"/>
    <n v="5.8900000000000001E-2"/>
    <n v="30.215599999999998"/>
    <n v="21.1633"/>
    <n v="28.535399999999999"/>
    <n v="29.511700000000001"/>
    <n v="1.7122999999999999"/>
    <n v="33.456099999999999"/>
    <n v="156500"/>
    <n v="4.6978999999999997"/>
    <n v="110939"/>
    <n v="70665"/>
    <n v="0"/>
  </r>
  <r>
    <x v="2"/>
    <x v="2"/>
    <x v="0"/>
    <n v="1179.4000000000001"/>
    <n v="182527"/>
    <n v="97795"/>
    <n v="40269"/>
    <n v="2.93"/>
    <n v="54921"/>
    <n v="222544"/>
    <n v="65124"/>
    <n v="-32773"/>
    <n v="-24408"/>
    <n v="3.0668000000000002"/>
    <n v="6.2600000000000003E-2"/>
    <n v="18.094899999999999"/>
    <n v="12.5992"/>
    <n v="17.0288"/>
    <n v="22.061900000000001"/>
    <n v="0.84299999999999997"/>
    <n v="20.142199999999999"/>
    <n v="135301"/>
    <n v="1.2336"/>
    <n v="84732"/>
    <n v="57526"/>
    <n v="0"/>
  </r>
  <r>
    <x v="3"/>
    <x v="2"/>
    <x v="0"/>
    <n v="917.82"/>
    <n v="161857"/>
    <n v="89961"/>
    <n v="34343"/>
    <n v="2.4580000000000002"/>
    <n v="46012"/>
    <n v="201442"/>
    <n v="54520"/>
    <n v="-29491"/>
    <n v="-23209"/>
    <n v="3.3740999999999999"/>
    <n v="2.2599999999999999E-2"/>
    <n v="17.0486"/>
    <n v="12.4472"/>
    <n v="16.671700000000001"/>
    <n v="21.2181"/>
    <n v="0.55659999999999998"/>
    <n v="19.203299999999999"/>
    <n v="118899"/>
    <n v="1.8122"/>
    <n v="71896"/>
    <n v="55618"/>
    <n v="0"/>
  </r>
  <r>
    <x v="4"/>
    <x v="2"/>
    <x v="0"/>
    <n v="719.63"/>
    <n v="136819"/>
    <n v="77270"/>
    <n v="30736"/>
    <n v="2.1850000000000001"/>
    <n v="36559"/>
    <n v="177628"/>
    <n v="47971"/>
    <n v="-28504"/>
    <n v="-13179"/>
    <n v="3.919"/>
    <n v="2.2599999999999999E-2"/>
    <n v="17.303599999999999"/>
    <n v="13.203200000000001"/>
    <n v="16.921399999999998"/>
    <n v="22.464700000000001"/>
    <n v="-7.0499999999999993E-2"/>
    <n v="19.5124"/>
    <n v="98771"/>
    <n v="2.4426000000000001"/>
    <n v="59549"/>
    <n v="46534"/>
    <n v="0"/>
  </r>
  <r>
    <x v="5"/>
    <x v="2"/>
    <x v="0"/>
    <n v="726.47"/>
    <n v="110855"/>
    <n v="65272"/>
    <n v="12662"/>
    <n v="0.9"/>
    <n v="33093"/>
    <n v="152502"/>
    <n v="37091"/>
    <n v="-31401"/>
    <n v="-8298"/>
    <n v="5.1402999999999999"/>
    <n v="2.5999999999999999E-2"/>
    <n v="8.3027999999999995"/>
    <n v="6.4177999999999997"/>
    <n v="8.0922000000000001"/>
    <n v="11.4221"/>
    <n v="-0.151"/>
    <n v="9.5158000000000005"/>
    <n v="80110"/>
    <n v="2.1301000000000001"/>
    <n v="45583"/>
    <n v="52610"/>
    <n v="0"/>
  </r>
  <r>
    <x v="6"/>
    <x v="2"/>
    <x v="0"/>
    <n v="530.84"/>
    <n v="90272"/>
    <n v="55134"/>
    <n v="19478"/>
    <n v="1.3925000000000001"/>
    <n v="29860"/>
    <n v="139036"/>
    <n v="36036"/>
    <n v="-31165"/>
    <n v="-8332"/>
    <n v="6.2907999999999999"/>
    <n v="2.8299999999999999E-2"/>
    <n v="14.0093"/>
    <n v="11.6289"/>
    <n v="13.623699999999999"/>
    <n v="21.577000000000002"/>
    <n v="0.62490000000000001"/>
    <n v="16.3323"/>
    <n v="72053"/>
    <n v="1.2616000000000001"/>
    <n v="35138"/>
    <n v="35656"/>
    <n v="0"/>
  </r>
  <r>
    <x v="7"/>
    <x v="2"/>
    <x v="0"/>
    <n v="521.66999999999996"/>
    <n v="74989"/>
    <n v="46825"/>
    <n v="15826"/>
    <n v="1.1419999999999999"/>
    <n v="24423"/>
    <n v="120331"/>
    <n v="26572"/>
    <n v="-23711"/>
    <n v="-4225"/>
    <n v="4.6666999999999996"/>
    <n v="4.3400000000000001E-2"/>
    <n v="13.585900000000001"/>
    <n v="11.0863"/>
    <n v="13.3643"/>
    <n v="21.104399999999998"/>
    <n v="0.3054"/>
    <n v="16.248100000000001"/>
    <n v="61814"/>
    <n v="0.1186"/>
    <n v="28164"/>
    <n v="30999"/>
    <n v="0"/>
  </r>
  <r>
    <x v="8"/>
    <x v="2"/>
    <x v="0"/>
    <n v="354.75"/>
    <n v="66001"/>
    <n v="40310"/>
    <n v="14136"/>
    <n v="1.0285"/>
    <n v="21475"/>
    <n v="103860"/>
    <n v="23024"/>
    <n v="-21055"/>
    <n v="-2087"/>
    <n v="4.6878000000000002"/>
    <n v="5.04E-2"/>
    <n v="13.113799999999999"/>
    <n v="10.542899999999999"/>
    <n v="12.718500000000001"/>
    <n v="21.417899999999999"/>
    <n v="4.6300000000000001E-2"/>
    <n v="16.281400000000001"/>
    <n v="53600"/>
    <n v="1.6222000000000001"/>
    <n v="25691"/>
    <n v="26174"/>
    <n v="0"/>
  </r>
  <r>
    <x v="9"/>
    <x v="2"/>
    <x v="0"/>
    <n v="371.53"/>
    <n v="55519"/>
    <n v="33526"/>
    <n v="12733"/>
    <n v="0.9395"/>
    <n v="19342"/>
    <n v="87309"/>
    <n v="18659"/>
    <n v="-13679"/>
    <n v="-857"/>
    <n v="4.5816999999999997"/>
    <n v="6.0100000000000001E-2"/>
    <n v="15.072900000000001"/>
    <n v="11.8644"/>
    <n v="14.6965"/>
    <n v="22.9345"/>
    <n v="-0.23730000000000001"/>
    <n v="18.867100000000001"/>
    <n v="47756"/>
    <n v="1.4648000000000001"/>
    <n v="21993"/>
    <n v="20793"/>
    <n v="0"/>
  </r>
  <r>
    <x v="10"/>
    <x v="2"/>
    <x v="0"/>
    <n v="230.54"/>
    <n v="46039"/>
    <n v="28863"/>
    <n v="10737"/>
    <n v="0.80800000000000005"/>
    <n v="16796"/>
    <n v="71715"/>
    <n v="16619"/>
    <n v="-13056"/>
    <n v="1229"/>
    <n v="4.2165999999999997"/>
    <n v="7.7200000000000005E-2"/>
    <n v="16.1096"/>
    <n v="12.3169"/>
    <n v="15.465199999999999"/>
    <n v="23.3215"/>
    <n v="0.15390000000000001"/>
    <n v="21.512"/>
    <n v="53861"/>
    <n v="2.0693000000000001"/>
    <n v="17176"/>
    <n v="18126"/>
    <n v="0"/>
  </r>
  <r>
    <x v="11"/>
    <x v="2"/>
    <x v="0"/>
    <n v="207.65"/>
    <n v="37905"/>
    <n v="24717"/>
    <n v="9737"/>
    <n v="0.74399999999999999"/>
    <n v="13593"/>
    <n v="58145"/>
    <n v="14565"/>
    <n v="-19041"/>
    <n v="807"/>
    <n v="5.9192"/>
    <n v="7.2300000000000003E-2"/>
    <n v="16.746099999999998"/>
    <n v="13.416700000000001"/>
    <n v="15.928100000000001"/>
    <n v="25.687899999999999"/>
    <n v="0.3039"/>
    <n v="19.7822"/>
    <n v="32467"/>
    <n v="3.1568000000000001"/>
    <n v="13188"/>
    <n v="14980"/>
    <n v="0"/>
  </r>
  <r>
    <x v="12"/>
    <x v="2"/>
    <x v="0"/>
    <n v="188.54"/>
    <n v="29321"/>
    <n v="18904"/>
    <n v="8505"/>
    <n v="0.65780000000000005"/>
    <n v="11777"/>
    <n v="46241"/>
    <n v="11081"/>
    <n v="-10680"/>
    <n v="3050"/>
    <n v="4.1578999999999997"/>
    <n v="7.4899999999999994E-2"/>
    <n v="18.392800000000001"/>
    <n v="14.701599999999999"/>
    <n v="18.392800000000001"/>
    <n v="29.006499999999999"/>
    <n v="-0.1195"/>
    <n v="21.840699999999998"/>
    <n v="24400"/>
    <n v="1.64"/>
    <n v="10417"/>
    <n v="10399"/>
    <n v="0"/>
  </r>
  <r>
    <x v="13"/>
    <x v="2"/>
    <x v="0"/>
    <n v="195.27"/>
    <n v="23651"/>
    <n v="14807"/>
    <n v="6520"/>
    <n v="0.51029999999999998"/>
    <n v="9836"/>
    <n v="36004"/>
    <n v="9316"/>
    <n v="-8019"/>
    <n v="233"/>
    <n v="10.617800000000001"/>
    <n v="0"/>
    <n v="18.109100000000002"/>
    <n v="16.100000000000001"/>
    <n v="18.109100000000002"/>
    <n v="27.567499999999999"/>
    <n v="0.66569999999999996"/>
    <n v="21.499700000000001"/>
    <n v="19835"/>
    <n v="-0.35549999999999998"/>
    <n v="8844"/>
    <n v="8287"/>
    <n v="0"/>
  </r>
  <r>
    <x v="0"/>
    <x v="3"/>
    <x v="1"/>
    <n v="81.19"/>
    <n v="27518"/>
    <n v="11653"/>
    <n v="2419"/>
    <n v="2.09"/>
    <n v="5154"/>
    <n v="20274"/>
    <n v="5813"/>
    <n v="-3421"/>
    <n v="-1110"/>
    <n v="1.2753000000000001"/>
    <n v="0.51380000000000003"/>
    <n v="11.9315"/>
    <n v="3.073"/>
    <n v="7.8818000000000001"/>
    <n v="8.7905999999999995"/>
    <n v="0.28799999999999998"/>
    <n v="29.2256"/>
    <n v="29900"/>
    <n v="8.0028000000000006"/>
    <n v="15865"/>
    <n v="9234"/>
    <n v="0"/>
  </r>
  <r>
    <x v="1"/>
    <x v="3"/>
    <x v="1"/>
    <n v="221.57"/>
    <n v="25371"/>
    <n v="11921"/>
    <n v="4169"/>
    <n v="3.52"/>
    <n v="5527"/>
    <n v="21727"/>
    <n v="5797"/>
    <n v="-5149"/>
    <n v="-557"/>
    <n v="1.2218"/>
    <n v="0.3705"/>
    <n v="19.188099999999999"/>
    <n v="5.4997999999999996"/>
    <n v="14.001200000000001"/>
    <n v="16.432200000000002"/>
    <n v="-0.48430000000000001"/>
    <n v="46.627899999999997"/>
    <n v="30900"/>
    <n v="4.6978999999999997"/>
    <n v="13450"/>
    <n v="7752"/>
    <n v="0"/>
  </r>
  <r>
    <x v="2"/>
    <x v="3"/>
    <x v="1"/>
    <n v="274.41000000000003"/>
    <n v="21454"/>
    <n v="10001"/>
    <n v="4202"/>
    <n v="3.54"/>
    <n v="4478"/>
    <n v="20063"/>
    <n v="6219"/>
    <n v="-16545"/>
    <n v="12454"/>
    <n v="1.3264"/>
    <n v="0.44550000000000001"/>
    <n v="20.943999999999999"/>
    <n v="5.9705000000000004"/>
    <n v="14.4887"/>
    <n v="19.586099999999998"/>
    <n v="1.7623"/>
    <n v="42.5304"/>
    <n v="26500"/>
    <n v="1.2336"/>
    <n v="11453"/>
    <n v="5799"/>
    <n v="0"/>
  </r>
  <r>
    <x v="3"/>
    <x v="3"/>
    <x v="1"/>
    <n v="127.01"/>
    <n v="17772"/>
    <n v="7987"/>
    <n v="2459"/>
    <n v="2.0699999999999998"/>
    <n v="3631"/>
    <n v="16929"/>
    <n v="4071"/>
    <n v="-5742"/>
    <n v="4187"/>
    <n v="1.43"/>
    <n v="0.29330000000000001"/>
    <n v="14.525399999999999"/>
    <n v="4.7903000000000002"/>
    <n v="11.231400000000001"/>
    <n v="13.836399999999999"/>
    <n v="-1.0250999999999999"/>
    <n v="24.7409"/>
    <n v="23200"/>
    <n v="1.8122"/>
    <n v="9785"/>
    <n v="5528"/>
    <n v="0"/>
  </r>
  <r>
    <x v="4"/>
    <x v="3"/>
    <x v="1"/>
    <n v="99.09"/>
    <n v="15451"/>
    <n v="7189"/>
    <n v="2057"/>
    <n v="1.71"/>
    <n v="2970"/>
    <n v="15386"/>
    <n v="5480"/>
    <n v="821"/>
    <n v="-1240"/>
    <n v="1.2725"/>
    <n v="0.12989999999999999"/>
    <n v="13.369300000000001"/>
    <n v="4.7470999999999997"/>
    <n v="13.369300000000001"/>
    <n v="13.3131"/>
    <n v="2.347"/>
    <n v="24.852"/>
    <n v="21800"/>
    <n v="2.4426000000000001"/>
    <n v="8262"/>
    <n v="5132"/>
    <n v="0"/>
  </r>
  <r>
    <x v="5"/>
    <x v="3"/>
    <x v="1"/>
    <n v="88.48"/>
    <n v="13094"/>
    <n v="6399"/>
    <n v="1795"/>
    <n v="1.47"/>
    <n v="2932"/>
    <n v="15994"/>
    <n v="2531"/>
    <n v="-4485"/>
    <n v="4084"/>
    <n v="1.4278999999999999"/>
    <n v="6.25E-2"/>
    <n v="11.223000000000001"/>
    <n v="4.4023000000000003"/>
    <n v="11.223000000000001"/>
    <n v="13.708600000000001"/>
    <n v="-0.51690000000000003"/>
    <n v="15.6264"/>
    <n v="18700"/>
    <n v="2.1301000000000001"/>
    <n v="6695"/>
    <n v="4604"/>
    <n v="0"/>
  </r>
  <r>
    <x v="6"/>
    <x v="3"/>
    <x v="1"/>
    <n v="47.63"/>
    <n v="10842"/>
    <n v="5141"/>
    <n v="1401"/>
    <n v="1.1499999999999999"/>
    <n v="2310"/>
    <n v="14712"/>
    <n v="3158"/>
    <n v="-5904"/>
    <n v="2038"/>
    <n v="1.5246"/>
    <n v="0"/>
    <n v="9.5228000000000002"/>
    <n v="4.2321999999999997"/>
    <n v="9.5228000000000002"/>
    <n v="12.922000000000001"/>
    <n v="0.53820000000000001"/>
    <n v="13.417"/>
    <n v="18100"/>
    <n v="1.2616000000000001"/>
    <n v="5701"/>
    <n v="3740"/>
    <n v="0"/>
  </r>
  <r>
    <x v="7"/>
    <x v="3"/>
    <x v="1"/>
    <n v="44.23"/>
    <n v="9248"/>
    <n v="4719"/>
    <n v="1228"/>
    <n v="1"/>
    <n v="2069"/>
    <n v="13759"/>
    <n v="2546"/>
    <n v="-8038"/>
    <n v="4728"/>
    <n v="1.5163"/>
    <n v="0"/>
    <n v="8.9251000000000005"/>
    <n v="4.2519"/>
    <n v="8.9251000000000005"/>
    <n v="13.278600000000001"/>
    <n v="9.35E-2"/>
    <n v="13.159000000000001"/>
    <n v="16800"/>
    <n v="0.1186"/>
    <n v="4529"/>
    <n v="3491"/>
    <n v="0"/>
  </r>
  <r>
    <x v="8"/>
    <x v="3"/>
    <x v="1"/>
    <n v="93.784999999999997"/>
    <n v="8025"/>
    <n v="4218"/>
    <n v="419"/>
    <n v="0.34"/>
    <n v="1784"/>
    <n v="8248"/>
    <n v="2220"/>
    <n v="-2881"/>
    <n v="1284"/>
    <n v="1.3224"/>
    <n v="0.13250000000000001"/>
    <n v="5.08"/>
    <n v="1.9117999999999999"/>
    <n v="5.08"/>
    <n v="5.2211999999999996"/>
    <n v="0.10299999999999999"/>
    <n v="8.5457999999999998"/>
    <n v="15800"/>
    <n v="1.6222000000000001"/>
    <n v="3807"/>
    <n v="3799"/>
    <n v="0"/>
  </r>
  <r>
    <x v="0"/>
    <x v="4"/>
    <x v="2"/>
    <n v="46.99"/>
    <n v="56437"/>
    <n v="20762"/>
    <n v="10247"/>
    <n v="13.01"/>
    <n v="20640"/>
    <n v="42235"/>
    <n v="4207"/>
    <n v="-3626"/>
    <n v="-676"/>
    <n v="1"/>
    <n v="0.64349999999999996"/>
    <n v="27.008400000000002"/>
    <n v="2.1410999999999998"/>
    <n v="16.244599999999998"/>
    <n v="18.156500000000001"/>
    <n v="-1.9207000000000001"/>
    <n v="26.6982"/>
    <n v="26200"/>
    <n v="8.0028000000000006"/>
    <n v="35675"/>
    <n v="10515"/>
    <n v="0"/>
  </r>
  <r>
    <x v="1"/>
    <x v="4"/>
    <x v="2"/>
    <n v="47.21"/>
    <n v="52057"/>
    <n v="15322"/>
    <n v="9359"/>
    <n v="10.82"/>
    <n v="15382"/>
    <n v="68912"/>
    <n v="6279"/>
    <n v="-3280"/>
    <n v="-3735"/>
    <n v="1"/>
    <n v="0.43769999999999998"/>
    <n v="14.5016"/>
    <n v="1.6646000000000001"/>
    <n v="10.015700000000001"/>
    <n v="17.978400000000001"/>
    <n v="6.0658000000000003"/>
    <n v="14.3995"/>
    <n v="36600"/>
    <n v="4.6978999999999997"/>
    <n v="36735"/>
    <n v="5963"/>
    <n v="0"/>
  </r>
  <r>
    <x v="2"/>
    <x v="4"/>
    <x v="2"/>
    <n v="32.619999999999997"/>
    <n v="43736"/>
    <n v="6912"/>
    <n v="-5973"/>
    <n v="-6.88"/>
    <n v="6821"/>
    <n v="67199"/>
    <n v="1038"/>
    <n v="-6202"/>
    <n v="5058"/>
    <n v="1"/>
    <n v="0.55859999999999999"/>
    <n v="-8.7432999999999996"/>
    <n v="-0.99460000000000004"/>
    <n v="-5.5693999999999999"/>
    <n v="-13.6569"/>
    <n v="3.2256"/>
    <n v="-8.6801999999999992"/>
    <n v="45000"/>
    <n v="1.2336"/>
    <n v="36824"/>
    <n v="12885"/>
    <n v="0"/>
  </r>
  <r>
    <x v="3"/>
    <x v="4"/>
    <x v="2"/>
    <n v="44.65"/>
    <n v="49746"/>
    <n v="11975"/>
    <n v="3326"/>
    <n v="3.74"/>
    <n v="11817"/>
    <n v="67427"/>
    <n v="-1807"/>
    <n v="-5475"/>
    <n v="7258"/>
    <n v="1"/>
    <n v="0.52429999999999999"/>
    <n v="6.1561000000000003"/>
    <n v="0.78490000000000004"/>
    <n v="4.0096999999999996"/>
    <n v="6.6859999999999999"/>
    <n v="-1.5986"/>
    <n v="6.1117999999999997"/>
    <n v="46000"/>
    <n v="1.8122"/>
    <n v="37771"/>
    <n v="8649"/>
    <n v="0"/>
  </r>
  <r>
    <x v="4"/>
    <x v="4"/>
    <x v="2"/>
    <n v="34.86"/>
    <n v="47389"/>
    <n v="6921"/>
    <n v="-6"/>
    <n v="-0.01"/>
    <n v="6897"/>
    <n v="57309"/>
    <n v="-394"/>
    <n v="-223"/>
    <n v="1249"/>
    <n v="1"/>
    <n v="0.60270000000000001"/>
    <n v="0.1797"/>
    <n v="2.0899999999999998E-2"/>
    <n v="0.11210000000000001"/>
    <n v="-1.2699999999999999E-2"/>
    <n v="7.9684999999999997"/>
    <n v="0.1797"/>
    <n v="49600"/>
    <n v="2.4426000000000001"/>
    <n v="40468"/>
    <n v="6927"/>
    <n v="0"/>
  </r>
  <r>
    <x v="5"/>
    <x v="4"/>
    <x v="2"/>
    <n v="53.56"/>
    <n v="49520"/>
    <n v="6849"/>
    <n v="-6084"/>
    <n v="-6.54"/>
    <n v="6435"/>
    <n v="65708"/>
    <n v="-7818"/>
    <n v="14041"/>
    <n v="-5697"/>
    <n v="1"/>
    <n v="0.48149999999999998"/>
    <n v="-9.2225999999999999"/>
    <n v="-1.2161"/>
    <n v="-6.2251000000000003"/>
    <n v="-12.2859"/>
    <n v="-11.611000000000001"/>
    <n v="-9.2225999999999999"/>
    <n v="49800"/>
    <n v="2.1301000000000001"/>
    <n v="42671"/>
    <n v="12933"/>
    <n v="0"/>
  </r>
  <r>
    <x v="6"/>
    <x v="4"/>
    <x v="2"/>
    <n v="67.08"/>
    <n v="52367"/>
    <n v="5236"/>
    <n v="-849"/>
    <n v="-0.78"/>
    <n v="4805"/>
    <n v="76858"/>
    <n v="3502"/>
    <n v="3252"/>
    <n v="-6833"/>
    <n v="1"/>
    <n v="0.4022"/>
    <n v="-0.33700000000000002"/>
    <n v="-5.1999999999999998E-2"/>
    <n v="-0.24030000000000001"/>
    <n v="-1.6213"/>
    <n v="1.0537000000000001"/>
    <n v="-0.33700000000000002"/>
    <n v="56400"/>
    <n v="1.2616000000000001"/>
    <n v="47131"/>
    <n v="6085"/>
    <n v="0"/>
  </r>
  <r>
    <x v="7"/>
    <x v="4"/>
    <x v="2"/>
    <n v="76.66"/>
    <n v="58327"/>
    <n v="10565"/>
    <n v="2196"/>
    <n v="1.65"/>
    <n v="9958"/>
    <n v="90210"/>
    <n v="2877"/>
    <n v="8462"/>
    <n v="-11429"/>
    <n v="1"/>
    <n v="0.32419999999999999"/>
    <n v="2.4630999999999998"/>
    <n v="0.44719999999999999"/>
    <n v="1.8601000000000001"/>
    <n v="3.7650000000000001"/>
    <n v="-1.3029999999999999"/>
    <n v="2.4630999999999998"/>
    <n v="66400"/>
    <n v="0.1186"/>
    <n v="47762"/>
    <n v="8369"/>
    <n v="0"/>
  </r>
  <r>
    <x v="8"/>
    <x v="4"/>
    <x v="2"/>
    <n v="78.41"/>
    <n v="64406"/>
    <n v="19219"/>
    <n v="7529"/>
    <n v="5.2"/>
    <n v="16752"/>
    <n v="107272"/>
    <n v="5007"/>
    <n v="14284"/>
    <n v="-19788"/>
    <n v="1"/>
    <n v="0.29099999999999998"/>
    <n v="7.0606"/>
    <n v="1.4690000000000001"/>
    <n v="5.4690000000000003"/>
    <n v="11.6899"/>
    <n v="-0.50070000000000003"/>
    <n v="7.0606"/>
    <n v="65000"/>
    <n v="1.6222000000000001"/>
    <n v="45187"/>
    <n v="11690"/>
    <n v="0"/>
  </r>
  <r>
    <x v="9"/>
    <x v="4"/>
    <x v="2"/>
    <n v="75.16"/>
    <n v="68874"/>
    <n v="21915"/>
    <n v="9085"/>
    <n v="6.13"/>
    <n v="16922"/>
    <n v="101081"/>
    <n v="5865"/>
    <n v="7099"/>
    <n v="-11758"/>
    <n v="1"/>
    <n v="0.41249999999999998"/>
    <n v="8.9116999999999997"/>
    <n v="1.6640999999999999"/>
    <n v="6.3093000000000004"/>
    <n v="13.190799999999999"/>
    <n v="1.7808999999999999"/>
    <n v="8.9116999999999997"/>
    <n v="64000"/>
    <n v="1.4648000000000001"/>
    <n v="46959"/>
    <n v="12830"/>
    <n v="0"/>
  </r>
  <r>
    <x v="10"/>
    <x v="4"/>
    <x v="2"/>
    <n v="52.11"/>
    <n v="71214"/>
    <n v="21825"/>
    <n v="3438"/>
    <n v="2.04"/>
    <n v="19327"/>
    <n v="98669"/>
    <n v="3676"/>
    <n v="16612"/>
    <n v="-20564"/>
    <n v="1"/>
    <n v="0.49149999999999999"/>
    <n v="3.7488999999999999"/>
    <n v="0.67420000000000002"/>
    <n v="2.5133999999999999"/>
    <n v="4.8277000000000001"/>
    <n v="2.2237"/>
    <n v="3.7488999999999999"/>
    <n v="63000"/>
    <n v="2.0693000000000001"/>
    <n v="49389"/>
    <n v="18387"/>
    <n v="0"/>
  </r>
  <r>
    <x v="11"/>
    <x v="4"/>
    <x v="2"/>
    <n v="44.06"/>
    <n v="65105"/>
    <n v="18692"/>
    <n v="19810"/>
    <n v="11.01"/>
    <n v="15225"/>
    <n v="102393"/>
    <n v="-81"/>
    <n v="36448"/>
    <n v="-36926"/>
    <n v="1"/>
    <n v="0.7349"/>
    <n v="18.4222"/>
    <n v="3.4106999999999998"/>
    <n v="10.6183"/>
    <n v="30.427800000000001"/>
    <n v="-121.5022"/>
    <n v="18.4222"/>
    <n v="57000"/>
    <n v="3.1568000000000001"/>
    <n v="46413"/>
    <n v="-1118"/>
    <n v="0"/>
  </r>
  <r>
    <x v="12"/>
    <x v="4"/>
    <x v="2"/>
    <n v="7.79"/>
    <n v="72829"/>
    <n v="16787"/>
    <n v="2046"/>
    <n v="14.98"/>
    <n v="21166"/>
    <n v="113239"/>
    <n v="16597"/>
    <n v="-9912"/>
    <n v="-9261"/>
    <n v="1"/>
    <n v="0.75480000000000003"/>
    <n v="32.126199999999997"/>
    <n v="1.9393"/>
    <n v="6.6699000000000002"/>
    <n v="2.8092999999999999"/>
    <n v="-15.871499999999999"/>
    <n v="11.704499999999999"/>
    <n v="63000"/>
    <n v="1.64"/>
    <n v="56042"/>
    <n v="14741"/>
    <n v="0"/>
  </r>
  <r>
    <x v="13"/>
    <x v="4"/>
    <x v="2"/>
    <n v="4.04"/>
    <n v="75447"/>
    <n v="18614"/>
    <n v="-12244"/>
    <n v="-90.48"/>
    <n v="27765"/>
    <n v="98076"/>
    <n v="18584"/>
    <n v="5778"/>
    <n v="-28997"/>
    <n v="1"/>
    <n v="1.1552"/>
    <n v="-45.306100000000001"/>
    <n v="-1.5123"/>
    <n v="-6.0640999999999998"/>
    <n v="-16.2286"/>
    <n v="137.3287"/>
    <n v="-13.950699999999999"/>
    <n v="96000"/>
    <n v="-0.35549999999999998"/>
    <n v="56833"/>
    <n v="30858"/>
    <n v="0"/>
  </r>
  <r>
    <x v="0"/>
    <x v="5"/>
    <x v="3"/>
    <n v="41.28"/>
    <n v="21680"/>
    <n v="16824"/>
    <n v="1800"/>
    <n v="0.84"/>
    <n v="5693"/>
    <n v="23075"/>
    <n v="3721"/>
    <n v="-10214"/>
    <n v="7133"/>
    <n v="0.81169999999999998"/>
    <n v="2.2563"/>
    <n v="7.8613"/>
    <n v="1.5288999999999999"/>
    <n v="2.5615000000000001"/>
    <n v="8.3026"/>
    <n v="-1.6E-2"/>
    <n v="7.8613"/>
    <n v="26010"/>
    <n v="8.0028000000000006"/>
    <n v="4856"/>
    <n v="15024"/>
    <n v="0"/>
  </r>
  <r>
    <x v="1"/>
    <x v="5"/>
    <x v="3"/>
    <n v="32.200000000000003"/>
    <n v="20642"/>
    <n v="16261"/>
    <n v="-102"/>
    <n v="-0.05"/>
    <n v="5286"/>
    <n v="21223"/>
    <n v="2262"/>
    <n v="-6905"/>
    <n v="4323"/>
    <n v="0.63560000000000005"/>
    <n v="2.1152000000000002"/>
    <n v="-0.41460000000000002"/>
    <n v="-8.5199999999999998E-2"/>
    <n v="-0.14799999999999999"/>
    <n v="-0.49409999999999998"/>
    <n v="18.602499999999999"/>
    <n v="-0.41460000000000002"/>
    <n v="26000"/>
    <n v="4.6978999999999997"/>
    <n v="4381"/>
    <n v="16363"/>
    <n v="0"/>
  </r>
  <r>
    <x v="2"/>
    <x v="5"/>
    <x v="3"/>
    <n v="24.1"/>
    <n v="18469"/>
    <n v="14571"/>
    <n v="-1318"/>
    <n v="-1.05"/>
    <n v="5223"/>
    <n v="21253"/>
    <n v="-19130"/>
    <n v="-7748"/>
    <n v="25928"/>
    <n v="0.70699999999999996"/>
    <n v="1.9227000000000001"/>
    <n v="-6.1356000000000002"/>
    <n v="-1.3326"/>
    <n v="-2.2275"/>
    <n v="-7.1363000000000003"/>
    <n v="-18.501300000000001"/>
    <n v="-6.1356000000000002"/>
    <n v="24000"/>
    <n v="1.2336"/>
    <n v="3898"/>
    <n v="15889"/>
    <n v="0"/>
  </r>
  <r>
    <x v="3"/>
    <x v="5"/>
    <x v="3"/>
    <n v="24.73"/>
    <n v="17129"/>
    <n v="13300"/>
    <n v="-7656"/>
    <n v="-14.5"/>
    <n v="-6860"/>
    <n v="5388"/>
    <n v="4816"/>
    <n v="-6378"/>
    <n v="1464"/>
    <n v="1.3321000000000001"/>
    <n v="0"/>
    <n v="-141.83369999999999"/>
    <n v="-8.9699000000000009"/>
    <n v="-141.83369999999999"/>
    <n v="-44.696100000000001"/>
    <n v="0.57289999999999996"/>
    <n v="-141.83369999999999"/>
    <n v="23000"/>
    <n v="1.8122"/>
    <n v="3829"/>
    <n v="20956"/>
    <n v="0"/>
  </r>
  <r>
    <x v="4"/>
    <x v="5"/>
    <x v="3"/>
    <n v="5.75"/>
    <n v="16759"/>
    <n v="12260"/>
    <n v="-6851"/>
    <n v="-13.25"/>
    <n v="-6664"/>
    <n v="12903"/>
    <n v="4752"/>
    <n v="-6564"/>
    <n v="3031"/>
    <n v="0.2205"/>
    <n v="1.7045999999999999"/>
    <n v="-52.987699999999997"/>
    <n v="-8.8797999999999995"/>
    <n v="-52.987699999999997"/>
    <n v="-40.8795"/>
    <n v="-4.0631000000000004"/>
    <n v="-52.987699999999997"/>
    <n v="24000"/>
    <n v="2.4426000000000001"/>
    <n v="4499"/>
    <n v="19111"/>
    <n v="0"/>
  </r>
  <r>
    <x v="5"/>
    <x v="5"/>
    <x v="3"/>
    <n v="12.32"/>
    <n v="17135"/>
    <n v="12080"/>
    <n v="1646"/>
    <n v="3.21"/>
    <n v="5759"/>
    <n v="19472"/>
    <n v="5977"/>
    <n v="-5650"/>
    <n v="-55"/>
    <n v="0.88100000000000001"/>
    <n v="0.98240000000000005"/>
    <n v="8.5251000000000001"/>
    <n v="2.4407000000000001"/>
    <n v="4.4593999999999996"/>
    <n v="9.6060999999999996"/>
    <n v="3.2498"/>
    <n v="8.5251000000000001"/>
    <n v="23000"/>
    <n v="2.1301000000000001"/>
    <n v="5055"/>
    <n v="10434"/>
    <n v="0"/>
  </r>
  <r>
    <x v="6"/>
    <x v="5"/>
    <x v="3"/>
    <n v="23.06"/>
    <n v="17666"/>
    <n v="12286"/>
    <n v="1393"/>
    <n v="2.78"/>
    <n v="4835"/>
    <n v="18192"/>
    <n v="4409"/>
    <n v="-5753"/>
    <n v="1171"/>
    <n v="0.81489999999999996"/>
    <n v="1.0134000000000001"/>
    <n v="7.7342000000000004"/>
    <n v="2.0510999999999999"/>
    <n v="4.0887000000000002"/>
    <n v="7.8852000000000002"/>
    <n v="0.2656"/>
    <n v="7.7342000000000004"/>
    <n v="24000"/>
    <n v="1.2616000000000001"/>
    <n v="5380"/>
    <n v="10893"/>
    <n v="0"/>
  </r>
  <r>
    <x v="7"/>
    <x v="5"/>
    <x v="3"/>
    <n v="30.73"/>
    <n v="16833"/>
    <n v="11071"/>
    <n v="874"/>
    <n v="1.79"/>
    <n v="4120"/>
    <n v="16828"/>
    <n v="3780"/>
    <n v="-5211"/>
    <n v="1403"/>
    <n v="0.91359999999999997"/>
    <n v="1.0164"/>
    <n v="5.2769000000000004"/>
    <n v="1.4043000000000001"/>
    <n v="2.7111999999999998"/>
    <n v="5.1921999999999997"/>
    <n v="-0.42849999999999999"/>
    <n v="5.2769000000000004"/>
    <n v="23000"/>
    <n v="0.1186"/>
    <n v="5762"/>
    <n v="10197"/>
    <n v="0"/>
  </r>
  <r>
    <x v="8"/>
    <x v="5"/>
    <x v="3"/>
    <n v="26.09"/>
    <n v="17090"/>
    <n v="10521"/>
    <n v="1436"/>
    <n v="3.06"/>
    <n v="4883"/>
    <n v="16000"/>
    <n v="3690"/>
    <n v="-4714"/>
    <n v="879"/>
    <n v="1.0791999999999999"/>
    <n v="0.98019999999999996"/>
    <n v="9.0625"/>
    <n v="2.4116"/>
    <n v="4.6699000000000002"/>
    <n v="8.4025999999999996"/>
    <n v="1.5681"/>
    <n v="9.0625"/>
    <n v="22581"/>
    <n v="1.6222000000000001"/>
    <n v="6569"/>
    <n v="9085"/>
    <n v="0"/>
  </r>
  <r>
    <x v="9"/>
    <x v="5"/>
    <x v="3"/>
    <n v="25.29"/>
    <n v="15598"/>
    <n v="9614"/>
    <n v="814"/>
    <n v="1.83"/>
    <n v="3839"/>
    <n v="14594"/>
    <n v="3427"/>
    <n v="-5107"/>
    <n v="1575"/>
    <n v="0.79769999999999996"/>
    <n v="1.0126999999999999"/>
    <n v="5.6736000000000004"/>
    <n v="1.4891000000000001"/>
    <n v="3.0316999999999998"/>
    <n v="5.2186000000000003"/>
    <n v="-4.6071"/>
    <n v="5.6736000000000004"/>
    <n v="21166"/>
    <n v="1.4648000000000001"/>
    <n v="5984"/>
    <n v="8800"/>
    <n v="0"/>
  </r>
  <r>
    <x v="10"/>
    <x v="5"/>
    <x v="3"/>
    <n v="18.100000000000001"/>
    <n v="15040"/>
    <n v="10017"/>
    <n v="816"/>
    <n v="1.92"/>
    <n v="3965"/>
    <n v="13326"/>
    <n v="4882"/>
    <n v="-4526"/>
    <n v="-468"/>
    <n v="0.81859999999999999"/>
    <n v="1.0062"/>
    <n v="6.2283999999999997"/>
    <n v="1.5825"/>
    <n v="3.2117"/>
    <n v="5.4255000000000004"/>
    <n v="1.3509"/>
    <n v="6.2283999999999997"/>
    <n v="20593"/>
    <n v="2.0693000000000001"/>
    <n v="5023"/>
    <n v="9201"/>
    <n v="0"/>
  </r>
  <r>
    <x v="11"/>
    <x v="5"/>
    <x v="3"/>
    <n v="17.14"/>
    <n v="14956"/>
    <n v="9623"/>
    <n v="844"/>
    <n v="2.1"/>
    <n v="4157"/>
    <n v="12353"/>
    <n v="3739"/>
    <n v="-3986"/>
    <n v="469"/>
    <n v="0.83620000000000005"/>
    <n v="1.1241000000000001"/>
    <n v="6.9457000000000004"/>
    <n v="1.7245999999999999"/>
    <n v="3.5573999999999999"/>
    <n v="5.6432000000000002"/>
    <n v="0.77659999999999996"/>
    <n v="6.9457000000000004"/>
    <n v="19274"/>
    <n v="3.1568000000000001"/>
    <n v="5333"/>
    <n v="8779"/>
    <n v="0"/>
  </r>
  <r>
    <x v="12"/>
    <x v="5"/>
    <x v="3"/>
    <n v="16.73"/>
    <n v="13841"/>
    <n v="8652"/>
    <n v="1099"/>
    <n v="2.82"/>
    <n v="4213"/>
    <n v="11534"/>
    <n v="3206"/>
    <n v="-3857"/>
    <n v="415"/>
    <n v="0.77129999999999999"/>
    <n v="1.1613"/>
    <n v="9.6496999999999993"/>
    <n v="2.4182999999999999"/>
    <n v="4.8681000000000001"/>
    <n v="7.9401999999999999"/>
    <n v="0.86040000000000005"/>
    <n v="9.6496999999999993"/>
    <n v="19424"/>
    <n v="1.64"/>
    <n v="5189"/>
    <n v="7553"/>
    <n v="0"/>
  </r>
  <r>
    <x v="13"/>
    <x v="5"/>
    <x v="3"/>
    <n v="18.760000000000002"/>
    <n v="13399"/>
    <n v="8397"/>
    <n v="1220"/>
    <n v="3.2"/>
    <n v="4051"/>
    <n v="10585"/>
    <n v="3039"/>
    <n v="-3336"/>
    <n v="605"/>
    <n v="0.83030000000000004"/>
    <n v="1.2062999999999999"/>
    <n v="11.657999999999999"/>
    <n v="2.8734000000000002"/>
    <n v="5.6623999999999999"/>
    <n v="9.1052"/>
    <n v="-2.3807999999999998"/>
    <n v="11.657999999999999"/>
    <n v="19425"/>
    <n v="-0.35549999999999998"/>
    <n v="5002"/>
    <n v="7177"/>
    <n v="0"/>
  </r>
  <r>
    <x v="4"/>
    <x v="6"/>
    <x v="4"/>
    <n v="0.04"/>
    <n v="16702"/>
    <n v="3527"/>
    <n v="-383"/>
    <n v="-3.57"/>
    <n v="-52"/>
    <n v="-3723"/>
    <n v="-1842"/>
    <n v="1894"/>
    <n v="-2"/>
    <n v="0.77559999999999996"/>
    <n v="-1.1099000000000001"/>
    <n v="10.2874"/>
    <n v="-5.274"/>
    <n v="25.983699999999999"/>
    <n v="-2.2930999999999999"/>
    <n v="3.0663"/>
    <n v="7.4225000000000003"/>
    <n v="89900"/>
    <n v="2.4426000000000001"/>
    <n v="13175"/>
    <n v="3910"/>
    <n v="0"/>
  </r>
  <r>
    <x v="5"/>
    <x v="6"/>
    <x v="4"/>
    <n v="0.37"/>
    <n v="22138"/>
    <n v="4686"/>
    <n v="-2221"/>
    <n v="-20.78"/>
    <n v="-1610"/>
    <n v="-3824"/>
    <n v="-1381"/>
    <n v="244"/>
    <n v="1185"/>
    <n v="1.0672999999999999"/>
    <n v="-1.0887"/>
    <n v="58.080500000000001"/>
    <n v="-23.723600000000001"/>
    <n v="884.8605"/>
    <n v="-10.032500000000001"/>
    <n v="-13.9382"/>
    <n v="39.561799999999998"/>
    <n v="140000"/>
    <n v="2.1301000000000001"/>
    <n v="17452"/>
    <n v="6907"/>
    <n v="0"/>
  </r>
  <r>
    <x v="6"/>
    <x v="6"/>
    <x v="4"/>
    <n v="1.1100000000000001"/>
    <n v="25146"/>
    <n v="5810"/>
    <n v="-1129"/>
    <n v="-10.59"/>
    <n v="-570"/>
    <n v="-1956"/>
    <n v="-2167"/>
    <n v="2519"/>
    <n v="-364"/>
    <n v="1.1115999999999999"/>
    <n v="-1.5215000000000001"/>
    <n v="57.668700000000001"/>
    <n v="-9.9497"/>
    <n v="-742.10519999999997"/>
    <n v="-4.4897999999999998"/>
    <n v="14.901400000000001"/>
    <n v="27.285900000000002"/>
    <n v="178000"/>
    <n v="1.2616000000000001"/>
    <n v="19336"/>
    <n v="6939"/>
    <n v="0"/>
  </r>
  <r>
    <x v="7"/>
    <x v="6"/>
    <x v="4"/>
    <n v="2.19"/>
    <n v="31198"/>
    <n v="7149"/>
    <n v="-1682"/>
    <n v="-15.82"/>
    <n v="-889"/>
    <n v="-945"/>
    <n v="-1387"/>
    <n v="327"/>
    <n v="285"/>
    <n v="1.0479000000000001"/>
    <n v="-3.9958"/>
    <n v="191.53440000000001"/>
    <n v="-13.7277"/>
    <n v="-84.500500000000002"/>
    <n v="-5.3914"/>
    <n v="-7.4240000000000004"/>
    <n v="54.6663"/>
    <n v="196000"/>
    <n v="0.1186"/>
    <n v="24049"/>
    <n v="8831"/>
    <n v="0"/>
  </r>
  <r>
    <x v="8"/>
    <x v="6"/>
    <x v="4"/>
    <n v="3.51"/>
    <n v="36188"/>
    <n v="8755"/>
    <n v="-1365"/>
    <n v="-12.87"/>
    <n v="-195"/>
    <n v="2183"/>
    <n v="-1109"/>
    <n v="664"/>
    <n v="902"/>
    <n v="1.0946"/>
    <n v="1.9463999999999999"/>
    <n v="-51.122300000000003"/>
    <n v="-6.1113999999999997"/>
    <n v="-22.244399999999999"/>
    <n v="-3.7719999999999998"/>
    <n v="-2.7683"/>
    <n v="106.6922"/>
    <n v="226000"/>
    <n v="1.6222000000000001"/>
    <n v="27433"/>
    <n v="10120"/>
    <n v="0"/>
  </r>
  <r>
    <x v="9"/>
    <x v="6"/>
    <x v="4"/>
    <n v="4.9000000000000004"/>
    <n v="39854"/>
    <n v="10514"/>
    <n v="-930"/>
    <n v="-8.7799999999999994"/>
    <n v="-8"/>
    <n v="3172"/>
    <n v="-303"/>
    <n v="191"/>
    <n v="-27"/>
    <n v="1.1011"/>
    <n v="0.98360000000000003"/>
    <n v="-33.228299999999997"/>
    <n v="-5.4497999999999998"/>
    <n v="-20.606100000000001"/>
    <n v="-2.3334999999999999"/>
    <n v="4.5387000000000004"/>
    <n v="1197.7270000000001"/>
    <n v="246000"/>
    <n v="1.4648000000000001"/>
    <n v="29340"/>
    <n v="11444"/>
    <n v="0"/>
  </r>
  <r>
    <x v="10"/>
    <x v="6"/>
    <x v="4"/>
    <n v="4.47"/>
    <n v="41567"/>
    <n v="10601"/>
    <n v="-3140"/>
    <n v="-29.4"/>
    <n v="-648"/>
    <n v="4341"/>
    <n v="-275"/>
    <n v="-309"/>
    <n v="-28"/>
    <n v="1.1120000000000001"/>
    <n v="0.80469999999999997"/>
    <n v="-71.872799999999998"/>
    <n v="-14.5924"/>
    <n v="-48.530099999999997"/>
    <n v="-7.5541"/>
    <n v="-3.5464000000000002"/>
    <n v="-554.17409999999995"/>
    <n v="264000"/>
    <n v="2.0693000000000001"/>
    <n v="30966"/>
    <n v="13741"/>
    <n v="0"/>
  </r>
  <r>
    <x v="11"/>
    <x v="6"/>
    <x v="4"/>
    <n v="3.39"/>
    <n v="42664"/>
    <n v="11664"/>
    <n v="133"/>
    <n v="1.19"/>
    <n v="1306"/>
    <n v="8614"/>
    <n v="123"/>
    <n v="-406"/>
    <n v="-95"/>
    <n v="1.3374999999999999"/>
    <n v="0.37069999999999997"/>
    <n v="1.6136999999999999"/>
    <n v="0.5706"/>
    <n v="1.2685"/>
    <n v="0.31169999999999998"/>
    <n v="-12.4078"/>
    <n v="3.2867999999999999"/>
    <n v="280000"/>
    <n v="3.1568000000000001"/>
    <n v="31000"/>
    <n v="11531"/>
    <n v="0"/>
  </r>
  <r>
    <x v="12"/>
    <x v="6"/>
    <x v="4"/>
    <n v="8.2200000000000006"/>
    <n v="43360"/>
    <n v="11986"/>
    <n v="235"/>
    <n v="1.99"/>
    <n v="1561"/>
    <n v="9435"/>
    <n v="1507"/>
    <n v="-172"/>
    <n v="-951"/>
    <n v="1.3018000000000001"/>
    <n v="0.26550000000000001"/>
    <n v="2.9676999999999998"/>
    <n v="1.1287"/>
    <n v="2.5150000000000001"/>
    <n v="0.54200000000000004"/>
    <n v="5.4337"/>
    <n v="5.7911000000000001"/>
    <n v="290000"/>
    <n v="1.64"/>
    <n v="31374"/>
    <n v="11751"/>
    <n v="0"/>
  </r>
  <r>
    <x v="13"/>
    <x v="6"/>
    <x v="4"/>
    <n v="8.98"/>
    <n v="46770"/>
    <n v="12652"/>
    <n v="53"/>
    <n v="0.42"/>
    <n v="1283"/>
    <n v="9699"/>
    <n v="992"/>
    <n v="-637"/>
    <n v="-643"/>
    <n v="1.3411999999999999"/>
    <n v="0.30099999999999999"/>
    <n v="1.0206999999999999"/>
    <n v="0.39069999999999999"/>
    <n v="0.83679999999999999"/>
    <n v="0.1133"/>
    <n v="4.5747999999999998"/>
    <n v="1.9704999999999999"/>
    <n v="291000"/>
    <n v="-0.35549999999999998"/>
    <n v="34118"/>
    <n v="12599"/>
    <n v="0"/>
  </r>
  <r>
    <x v="0"/>
    <x v="7"/>
    <x v="5"/>
    <n v="186.39"/>
    <n v="23182.6"/>
    <n v="13207.2"/>
    <n v="6177.4"/>
    <n v="8.33"/>
    <n v="11241.6"/>
    <n v="-6003.4"/>
    <n v="7386.7"/>
    <n v="-2678.1"/>
    <n v="-6580.2"/>
    <n v="1.4266000000000001"/>
    <n v="-5.9805000000000001"/>
    <n v="-102.89830000000001"/>
    <n v="12.248100000000001"/>
    <n v="20.6601"/>
    <n v="26.646699999999999"/>
    <n v="-2.1322999999999999"/>
    <n v="-69.379400000000004"/>
    <n v="150000"/>
    <n v="8.0028000000000006"/>
    <n v="9975.3999999999978"/>
    <n v="7029.8000000000011"/>
    <n v="0"/>
  </r>
  <r>
    <x v="1"/>
    <x v="7"/>
    <x v="5"/>
    <n v="193.02"/>
    <n v="23222.9"/>
    <n v="12580.2"/>
    <n v="7545.2"/>
    <n v="10.039999999999999"/>
    <n v="12224.1"/>
    <n v="-4601"/>
    <n v="9141.5"/>
    <n v="-2165.6999999999998"/>
    <n v="-5595.6"/>
    <n v="1.7782"/>
    <n v="-7.7423999999999999"/>
    <n v="-163.99029999999999"/>
    <n v="14.010400000000001"/>
    <n v="24.322299999999998"/>
    <n v="32.490299999999998"/>
    <n v="3.3856999999999999"/>
    <n v="-102.19"/>
    <n v="200000"/>
    <n v="4.6978999999999997"/>
    <n v="10642.7"/>
    <n v="5035.0000000000009"/>
    <n v="0"/>
  </r>
  <r>
    <x v="2"/>
    <x v="7"/>
    <x v="5"/>
    <n v="200.31"/>
    <n v="19207.8"/>
    <n v="9752.1010000000006"/>
    <n v="4730.5"/>
    <n v="6.31"/>
    <n v="9075.4"/>
    <n v="-7824.9"/>
    <n v="6265.2"/>
    <n v="-1545.8"/>
    <n v="-2249"/>
    <n v="1.01"/>
    <n v="-4.7847999999999997"/>
    <n v="-60.454500000000003"/>
    <n v="8.9887999999999995"/>
    <n v="17.282299999999999"/>
    <n v="24.628"/>
    <n v="-1.4852000000000001"/>
    <n v="-44.635800000000003"/>
    <n v="200000"/>
    <n v="1.2336"/>
    <n v="9455.6989999999987"/>
    <n v="5021.6010000000006"/>
    <n v="0"/>
  </r>
  <r>
    <x v="3"/>
    <x v="7"/>
    <x v="5"/>
    <n v="159.88999999999999"/>
    <n v="21364.400000000001"/>
    <n v="11179.4"/>
    <n v="6025.4"/>
    <n v="7.88"/>
    <n v="10687.7"/>
    <n v="-8210.2999999999993"/>
    <n v="8122.1"/>
    <n v="-3071.1"/>
    <n v="-4994.8"/>
    <n v="0.98260000000000003"/>
    <n v="-4.1627000000000001"/>
    <n v="-73.388300000000001"/>
    <n v="12.6822"/>
    <n v="23.257100000000001"/>
    <n v="28.202999999999999"/>
    <n v="2.1046"/>
    <n v="-55.3414"/>
    <n v="205000"/>
    <n v="1.8122"/>
    <n v="10185.000000000002"/>
    <n v="5154"/>
    <n v="0"/>
  </r>
  <r>
    <x v="4"/>
    <x v="7"/>
    <x v="5"/>
    <n v="148.82"/>
    <n v="21257.9"/>
    <n v="10832.6"/>
    <n v="5924.3"/>
    <n v="7.54"/>
    <n v="10304.6"/>
    <n v="-6258.4"/>
    <n v="6966.7"/>
    <n v="-2455.1"/>
    <n v="-5949.6"/>
    <n v="1.3631"/>
    <n v="-4.9653999999999998"/>
    <n v="-94.661600000000007"/>
    <n v="18.055700000000002"/>
    <n v="23.872"/>
    <n v="27.8687"/>
    <n v="0.84360000000000002"/>
    <n v="-68.968199999999996"/>
    <n v="210000"/>
    <n v="2.4426000000000001"/>
    <n v="10425.300000000001"/>
    <n v="4908.3"/>
    <n v="0"/>
  </r>
  <r>
    <x v="5"/>
    <x v="7"/>
    <x v="5"/>
    <n v="136.88999999999999"/>
    <n v="22820.400000000001"/>
    <n v="10620.8"/>
    <n v="5192.3"/>
    <n v="6.37"/>
    <n v="10916.1"/>
    <n v="-3268"/>
    <n v="5551.2"/>
    <n v="562"/>
    <n v="-5310.8"/>
    <n v="1.8429"/>
    <n v="-9.0381"/>
    <n v="-158.88319999999999"/>
    <n v="15.360200000000001"/>
    <n v="19.766300000000001"/>
    <n v="22.7529"/>
    <n v="-0.27929999999999999"/>
    <n v="-91.936499999999995"/>
    <n v="235000"/>
    <n v="2.1301000000000001"/>
    <n v="12199.600000000002"/>
    <n v="5428.4999999999991"/>
    <n v="0"/>
  </r>
  <r>
    <x v="6"/>
    <x v="7"/>
    <x v="5"/>
    <n v="137.21"/>
    <n v="24621.9"/>
    <n v="10204.700000000001"/>
    <n v="4686.5"/>
    <n v="5.44"/>
    <n v="9261.0020000000004"/>
    <n v="-2204.3000000000002"/>
    <n v="6059.6"/>
    <n v="-981.6"/>
    <n v="-11262.4"/>
    <n v="1.3979999999999999"/>
    <n v="-11.775"/>
    <n v="-212.6069"/>
    <n v="15.1061"/>
    <n v="19.7958"/>
    <n v="19.033899999999999"/>
    <n v="-0.21"/>
    <n v="-103.20869999999999"/>
    <n v="375000"/>
    <n v="1.2616000000000001"/>
    <n v="14417.2"/>
    <n v="5518.2000000000007"/>
    <n v="0"/>
  </r>
  <r>
    <x v="7"/>
    <x v="7"/>
    <x v="5"/>
    <n v="101.08"/>
    <n v="25413"/>
    <n v="9789.2000000000007"/>
    <n v="4529.3"/>
    <n v="4.8"/>
    <n v="8701.2000000000007"/>
    <n v="7087.9"/>
    <n v="6539.1"/>
    <n v="-1420"/>
    <n v="735.3"/>
    <n v="3.2684000000000002"/>
    <n v="3.4033000000000002"/>
    <n v="63.901899999999998"/>
    <n v="11.938499999999999"/>
    <n v="14.5123"/>
    <n v="17.822800000000001"/>
    <n v="0.93540000000000001"/>
    <n v="99.074799999999996"/>
    <n v="420000"/>
    <n v="0.1186"/>
    <n v="15623.8"/>
    <n v="5259.9000000000005"/>
    <n v="0"/>
  </r>
  <r>
    <x v="8"/>
    <x v="7"/>
    <x v="5"/>
    <n v="108.48"/>
    <n v="27441.3"/>
    <n v="10455.700000000001"/>
    <n v="4757.8"/>
    <n v="4.82"/>
    <n v="9593.7009999999991"/>
    <n v="12853.4"/>
    <n v="6730.3"/>
    <n v="-2304.9"/>
    <n v="-4618.3"/>
    <n v="1.5232000000000001"/>
    <n v="1.1619999999999999"/>
    <n v="37.015900000000002"/>
    <n v="13.900600000000001"/>
    <n v="17.121099999999998"/>
    <n v="17.338100000000001"/>
    <n v="2.2100000000000002E-2"/>
    <n v="47.0227"/>
    <n v="420000"/>
    <n v="1.6222000000000001"/>
    <n v="16985.599999999999"/>
    <n v="5697.9000000000005"/>
    <n v="0"/>
  </r>
  <r>
    <x v="9"/>
    <x v="7"/>
    <x v="5"/>
    <n v="91.19"/>
    <n v="28105.7"/>
    <n v="10902.7"/>
    <n v="5585.9"/>
    <n v="5.55"/>
    <n v="10349.4"/>
    <n v="16009.7"/>
    <n v="7120.7"/>
    <n v="-2673.8"/>
    <n v="-4043"/>
    <n v="1.5931"/>
    <n v="0.88260000000000005"/>
    <n v="34.890700000000002"/>
    <n v="15.251099999999999"/>
    <n v="18.5335"/>
    <n v="19.874600000000001"/>
    <n v="0.43109999999999998"/>
    <n v="42.520400000000002"/>
    <n v="440000"/>
    <n v="1.4648000000000001"/>
    <n v="17203"/>
    <n v="5316.8000000000011"/>
    <n v="0"/>
  </r>
  <r>
    <x v="10"/>
    <x v="7"/>
    <x v="5"/>
    <n v="96.55"/>
    <n v="27567"/>
    <n v="10816.3"/>
    <n v="5464.8"/>
    <n v="5.36"/>
    <n v="10093.1"/>
    <n v="15293.6"/>
    <n v="6966.1"/>
    <n v="-3167.3"/>
    <n v="-3849.8"/>
    <n v="1.4463999999999999"/>
    <n v="0.89139999999999997"/>
    <n v="35.732599999999998"/>
    <n v="15.443199999999999"/>
    <n v="18.892299999999999"/>
    <n v="19.823699999999999"/>
    <n v="-0.3911"/>
    <n v="43.754800000000003"/>
    <n v="440000"/>
    <n v="2.0693000000000001"/>
    <n v="16750.7"/>
    <n v="5351.4999999999991"/>
    <n v="0"/>
  </r>
  <r>
    <x v="11"/>
    <x v="7"/>
    <x v="5"/>
    <n v="88.56"/>
    <n v="27006"/>
    <n v="10686.6"/>
    <n v="5503.1"/>
    <n v="5.27"/>
    <n v="9944.7009999999991"/>
    <n v="14390.2"/>
    <n v="7150.1"/>
    <n v="-2570.9"/>
    <n v="-4533"/>
    <n v="1.2546999999999999"/>
    <n v="0.86870000000000003"/>
    <n v="38.241999999999997"/>
    <n v="16.6812"/>
    <n v="20.747599999999998"/>
    <n v="20.377300000000002"/>
    <n v="0.33689999999999998"/>
    <n v="46.886800000000001"/>
    <n v="420000"/>
    <n v="3.1568000000000001"/>
    <n v="16319.4"/>
    <n v="5183.5"/>
    <n v="0"/>
  </r>
  <r>
    <x v="12"/>
    <x v="7"/>
    <x v="5"/>
    <n v="102.66"/>
    <n v="24074.6"/>
    <n v="9637.2999999999993"/>
    <n v="4946.3"/>
    <n v="4.58"/>
    <n v="8749.2999999999993"/>
    <n v="14634.2"/>
    <n v="6341.6"/>
    <n v="-2056"/>
    <n v="-3728.7"/>
    <n v="1.4937"/>
    <n v="0.78620000000000001"/>
    <n v="33.799599999999998"/>
    <n v="15.469200000000001"/>
    <n v="18.928699999999999"/>
    <n v="20.5457"/>
    <n v="0.46300000000000002"/>
    <n v="41.054600000000001"/>
    <n v="400000"/>
    <n v="1.64"/>
    <n v="14437.3"/>
    <n v="4690.9999999999991"/>
    <n v="0"/>
  </r>
  <r>
    <x v="13"/>
    <x v="7"/>
    <x v="5"/>
    <n v="81.099999999999994"/>
    <n v="22744.7"/>
    <n v="8791.7999999999993"/>
    <n v="4551"/>
    <n v="4.1100000000000003"/>
    <n v="8057.2"/>
    <n v="14033.9"/>
    <n v="5751"/>
    <n v="-1655.3"/>
    <n v="-4421"/>
    <n v="1.1431"/>
    <n v="0.75380000000000003"/>
    <n v="32.428600000000003"/>
    <n v="15.0571"/>
    <n v="18.5044"/>
    <n v="20.0091"/>
    <n v="3.4304999999999999"/>
    <n v="39.203400000000002"/>
    <n v="385000"/>
    <n v="-0.35549999999999998"/>
    <n v="13952.900000000001"/>
    <n v="4240.7999999999993"/>
    <n v="0"/>
  </r>
  <r>
    <x v="0"/>
    <x v="8"/>
    <x v="2"/>
    <n v="32.53"/>
    <n v="30868.080000000002"/>
    <n v="30868.080000000002"/>
    <n v="6212.9489999999996"/>
    <n v="1.4743999999999999"/>
    <n v="1"/>
    <n v="85667.7"/>
    <n v="37392.720000000001"/>
    <n v="-26807.33"/>
    <n v="860.88239999999996"/>
    <n v="1"/>
    <n v="7.1601999999999997"/>
    <n v="8.6240000000000006"/>
    <n v="0.39460000000000001"/>
    <n v="1.284"/>
    <n v="21.161999999999999"/>
    <n v="-6.5476999999999999"/>
    <n v="9.7883999999999993"/>
    <n v="87400"/>
    <n v="8.0028000000000006"/>
    <n v="0"/>
    <n v="24655.131000000001"/>
    <n v="0"/>
  </r>
  <r>
    <x v="1"/>
    <x v="8"/>
    <x v="2"/>
    <n v="43.6"/>
    <n v="30169.69"/>
    <n v="30169.69"/>
    <n v="8766.2630000000008"/>
    <n v="2.0131000000000001"/>
    <n v="1"/>
    <n v="96547.15"/>
    <n v="67268.52"/>
    <n v="5871.6769999999997"/>
    <n v="147.13570000000001"/>
    <n v="1"/>
    <n v="6.3395999999999999"/>
    <n v="10.2918"/>
    <n v="0.52200000000000002"/>
    <n v="1.6696"/>
    <n v="28.216699999999999"/>
    <n v="-1.4282999999999999"/>
    <n v="11.6267"/>
    <n v="81600"/>
    <n v="4.6978999999999997"/>
    <n v="0"/>
    <n v="21403.426999999996"/>
    <n v="0"/>
  </r>
  <r>
    <x v="2"/>
    <x v="8"/>
    <x v="2"/>
    <n v="34.659999999999997"/>
    <n v="27947.54"/>
    <n v="27947.54"/>
    <n v="1959.384"/>
    <n v="0.44159999999999999"/>
    <n v="1"/>
    <n v="85876.479999999996"/>
    <n v="73836.42"/>
    <n v="-23594.78"/>
    <n v="3507.8879999999999"/>
    <n v="1"/>
    <n v="6.0327000000000002"/>
    <n v="3.6796000000000002"/>
    <n v="0.18240000000000001"/>
    <n v="0.60199999999999998"/>
    <n v="9.0146999999999995"/>
    <n v="20.434100000000001"/>
    <n v="4.1759000000000004"/>
    <n v="83000"/>
    <n v="1.2336"/>
    <n v="0"/>
    <n v="25988.156000000003"/>
    <n v="0"/>
  </r>
  <r>
    <x v="3"/>
    <x v="8"/>
    <x v="2"/>
    <n v="40.78"/>
    <n v="27621.9"/>
    <n v="27621.9"/>
    <n v="4180.5709999999999"/>
    <n v="0.72"/>
    <n v="1"/>
    <n v="83841.259999999995"/>
    <n v="-15699.49"/>
    <n v="-16377.52"/>
    <n v="881.06100000000004"/>
    <n v="1"/>
    <n v="5.3348000000000004"/>
    <n v="5.1081000000000003"/>
    <n v="0.29420000000000002"/>
    <n v="0.92010000000000003"/>
    <n v="16.602399999999999"/>
    <n v="-6.2895000000000003"/>
    <n v="5.8289"/>
    <n v="80800"/>
    <n v="1.8122"/>
    <n v="0"/>
    <n v="23441.329000000002"/>
    <n v="0"/>
  </r>
  <r>
    <x v="4"/>
    <x v="8"/>
    <x v="2"/>
    <n v="31.68"/>
    <n v="28212.33"/>
    <n v="28212.33"/>
    <n v="1860.711"/>
    <n v="0.49120000000000003"/>
    <n v="1"/>
    <n v="85132.21"/>
    <n v="11351.14"/>
    <n v="903.65959999999995"/>
    <n v="-9059.2880000000005"/>
    <n v="1"/>
    <n v="5.8975"/>
    <n v="3.7191000000000001"/>
    <n v="0.20930000000000001"/>
    <n v="0.61860000000000004"/>
    <n v="7.0876999999999999"/>
    <n v="-15.571199999999999"/>
    <n v="4.2504"/>
    <n v="83500"/>
    <n v="2.4426000000000001"/>
    <n v="0"/>
    <n v="26351.619000000002"/>
    <n v="0"/>
  </r>
  <r>
    <x v="5"/>
    <x v="8"/>
    <x v="2"/>
    <n v="45.79"/>
    <n v="27162.75"/>
    <n v="27162.75"/>
    <n v="-2477.0729999999999"/>
    <n v="-0.57299999999999995"/>
    <n v="1"/>
    <n v="85081.42"/>
    <n v="78244.34"/>
    <n v="4513.3770000000004"/>
    <n v="1238.537"/>
    <n v="1"/>
    <n v="5.2797000000000001"/>
    <n v="1.9706999999999999"/>
    <n v="0.1148"/>
    <n v="0.38619999999999999"/>
    <n v="-10.2561"/>
    <n v="14.5974"/>
    <n v="2.2366999999999999"/>
    <n v="79900"/>
    <n v="2.1301000000000001"/>
    <n v="0"/>
    <n v="29639.823"/>
    <n v="0"/>
  </r>
  <r>
    <x v="6"/>
    <x v="8"/>
    <x v="2"/>
    <n v="46.21"/>
    <n v="29072.54"/>
    <n v="29072.54"/>
    <n v="2373.13"/>
    <n v="0.55840000000000001"/>
    <n v="1"/>
    <n v="96720.98"/>
    <n v="15295.92"/>
    <n v="49749"/>
    <n v="-1784.93"/>
    <n v="1"/>
    <n v="3.5002"/>
    <n v="3.1345999999999998"/>
    <n v="0.18440000000000001"/>
    <n v="0.8387"/>
    <n v="9.1781000000000006"/>
    <n v="-2.4382000000000001"/>
    <n v="3.5150999999999999"/>
    <n v="119300"/>
    <n v="1.2616000000000001"/>
    <n v="0"/>
    <n v="26699.41"/>
    <n v="0"/>
  </r>
  <r>
    <x v="7"/>
    <x v="8"/>
    <x v="2"/>
    <n v="53.45"/>
    <n v="38919.160000000003"/>
    <n v="38919.160000000003"/>
    <n v="-495.39600000000002"/>
    <n v="-0.1162"/>
    <n v="1"/>
    <n v="100706.1"/>
    <n v="24659.71"/>
    <n v="-12895.59"/>
    <n v="-674.28899999999999"/>
    <n v="1"/>
    <n v="3.6646000000000001"/>
    <n v="0.94589999999999996"/>
    <n v="5.5599999999999997E-2"/>
    <n v="0.251"/>
    <n v="-1.3882000000000001"/>
    <n v="9.9995999999999992"/>
    <n v="1.0808"/>
    <n v="129400"/>
    <n v="0.1186"/>
    <n v="0"/>
    <n v="39414.556000000004"/>
    <n v="0"/>
  </r>
  <r>
    <x v="8"/>
    <x v="8"/>
    <x v="2"/>
    <n v="60.47"/>
    <n v="41677.15"/>
    <n v="41677.15"/>
    <n v="-197.77160000000001"/>
    <n v="-4.5999999999999999E-2"/>
    <n v="1"/>
    <n v="108705.4"/>
    <n v="-17207.810000000001"/>
    <n v="17560.509999999998"/>
    <n v="-5039.8900000000003"/>
    <n v="1"/>
    <n v="5.0612000000000004"/>
    <n v="1.2810999999999999"/>
    <n v="6.2199999999999998E-2"/>
    <n v="0.36709999999999998"/>
    <n v="-0.51900000000000002"/>
    <n v="6.6557000000000004"/>
    <n v="1.4624999999999999"/>
    <n v="132300"/>
    <n v="1.6222000000000001"/>
    <n v="0"/>
    <n v="41874.921600000001"/>
    <n v="0"/>
  </r>
  <r>
    <x v="9"/>
    <x v="8"/>
    <x v="2"/>
    <n v="55.49"/>
    <n v="43712.69"/>
    <n v="43712.69"/>
    <n v="846.55679999999995"/>
    <n v="0.23200000000000001"/>
    <n v="1"/>
    <n v="100067.4"/>
    <n v="-39392.269999999997"/>
    <n v="-35434.89"/>
    <n v="9247.9680000000008"/>
    <n v="1"/>
    <n v="6.6208"/>
    <n v="2.0282"/>
    <n v="9.8799999999999999E-2"/>
    <n v="0.54700000000000004"/>
    <n v="2.1758000000000002"/>
    <n v="-3.8584999999999998"/>
    <n v="2.3052000000000001"/>
    <n v="139600"/>
    <n v="1.4648000000000001"/>
    <n v="0"/>
    <n v="42866.133200000004"/>
    <n v="0"/>
  </r>
  <r>
    <x v="10"/>
    <x v="8"/>
    <x v="2"/>
    <n v="52.82"/>
    <n v="46036.06"/>
    <n v="46036.06"/>
    <n v="-1650.0889999999999"/>
    <n v="-0.53900000000000003"/>
    <n v="1"/>
    <n v="99793.14"/>
    <n v="-21741.23"/>
    <n v="-11252.63"/>
    <n v="-4504.8540000000003"/>
    <n v="1"/>
    <n v="7.6879999999999997"/>
    <n v="-0.37490000000000001"/>
    <n v="-1.5800000000000002E-2"/>
    <n v="-8.2900000000000001E-2"/>
    <n v="-4.0909000000000004"/>
    <n v="-21.998000000000001"/>
    <n v="-0.42880000000000001"/>
    <n v="139200"/>
    <n v="2.0693000000000001"/>
    <n v="0"/>
    <n v="47686.148999999998"/>
    <n v="0"/>
  </r>
  <r>
    <x v="11"/>
    <x v="8"/>
    <x v="2"/>
    <n v="33.47"/>
    <n v="48866.82"/>
    <n v="48866.82"/>
    <n v="6338.98"/>
    <n v="1.54"/>
    <n v="1"/>
    <n v="104600.5"/>
    <n v="46654.34"/>
    <n v="-3067.61"/>
    <n v="-9563.82"/>
    <n v="1"/>
    <n v="7.6044999999999998"/>
    <n v="4.6121999999999996"/>
    <n v="0.1923"/>
    <n v="1.3680000000000001"/>
    <n v="12.235200000000001"/>
    <n v="6.1199000000000003"/>
    <n v="5.2431999999999999"/>
    <n v="141100"/>
    <n v="3.1568000000000001"/>
    <n v="0"/>
    <n v="42527.839999999997"/>
    <n v="0"/>
  </r>
  <r>
    <x v="12"/>
    <x v="8"/>
    <x v="2"/>
    <n v="47.13"/>
    <n v="49030.07"/>
    <n v="49030.07"/>
    <n v="7034.11"/>
    <n v="1.84"/>
    <n v="1"/>
    <n v="96275.73"/>
    <n v="28894.16"/>
    <n v="-8701.0300000000007"/>
    <n v="245.86"/>
    <n v="1"/>
    <n v="9.3328000000000007"/>
    <n v="6.0555000000000003"/>
    <n v="0.25309999999999999"/>
    <n v="1.5241"/>
    <n v="14.4688"/>
    <n v="-12.8733"/>
    <n v="7.0387000000000004"/>
    <n v="147500"/>
    <n v="1.64"/>
    <n v="0"/>
    <n v="41995.96"/>
    <n v="0"/>
  </r>
  <r>
    <x v="13"/>
    <x v="8"/>
    <x v="2"/>
    <n v="36.840000000000003"/>
    <n v="45992.04"/>
    <n v="45992.04"/>
    <n v="5497.87"/>
    <n v="5.12"/>
    <n v="1"/>
    <n v="91570.7"/>
    <n v="65523.51"/>
    <n v="18026.64"/>
    <n v="-1035.05"/>
    <n v="1"/>
    <n v="8.5152000000000001"/>
    <n v="19.528300000000002"/>
    <n v="0.82820000000000005"/>
    <n v="5.1862000000000004"/>
    <n v="12.0558"/>
    <n v="21.5535"/>
    <n v="22.985099999999999"/>
    <n v="144200"/>
    <n v="-0.35549999999999998"/>
    <n v="0"/>
    <n v="40494.17"/>
    <n v="0"/>
  </r>
  <r>
    <x v="14"/>
    <x v="9"/>
    <x v="6"/>
    <n v="1000.35"/>
    <n v="26974"/>
    <n v="15356"/>
    <n v="4368"/>
    <n v="1.74"/>
    <n v="5768"/>
    <n v="22101"/>
    <n v="5641"/>
    <n v="7375"/>
    <n v="-11617"/>
    <n v="3.5156000000000001"/>
    <n v="0.49559999999999998"/>
    <n v="19.7638"/>
    <n v="10.6066"/>
    <n v="13.7341"/>
    <n v="16.1934"/>
    <n v="-1.6890000000000001"/>
    <n v="27.209900000000001"/>
    <n v="26196"/>
    <n v="3.7"/>
    <n v="11618"/>
    <n v="10988"/>
    <n v="0"/>
  </r>
  <r>
    <x v="0"/>
    <x v="9"/>
    <x v="6"/>
    <n v="359.5"/>
    <n v="26914"/>
    <n v="17475"/>
    <n v="9752"/>
    <n v="3.85"/>
    <n v="11215"/>
    <n v="26612"/>
    <n v="9108"/>
    <n v="-9830"/>
    <n v="1865"/>
    <n v="6.6502999999999997"/>
    <n v="0.4113"/>
    <n v="36.645099999999999"/>
    <n v="22.069800000000001"/>
    <n v="25.965199999999999"/>
    <n v="36.233899999999998"/>
    <n v="1.3378000000000001"/>
    <n v="48.945999999999998"/>
    <n v="22473"/>
    <n v="8.0028000000000006"/>
    <n v="9439"/>
    <n v="7723"/>
    <n v="0"/>
  </r>
  <r>
    <x v="1"/>
    <x v="9"/>
    <x v="6"/>
    <n v="735.86"/>
    <n v="16675"/>
    <n v="10396"/>
    <n v="4332"/>
    <n v="1.73"/>
    <n v="5630"/>
    <n v="16893"/>
    <n v="5822"/>
    <n v="-19675"/>
    <n v="3804"/>
    <n v="4.0903999999999998"/>
    <n v="0.41220000000000001"/>
    <n v="25.643799999999999"/>
    <n v="15.0464"/>
    <n v="18.9526"/>
    <n v="25.978999999999999"/>
    <n v="0.1419"/>
    <n v="43.480899999999998"/>
    <n v="18975"/>
    <n v="4.6978999999999997"/>
    <n v="6279"/>
    <n v="6064"/>
    <n v="0"/>
  </r>
  <r>
    <x v="2"/>
    <x v="9"/>
    <x v="6"/>
    <n v="323.24"/>
    <n v="10918"/>
    <n v="6768"/>
    <n v="2796"/>
    <n v="1.1299999999999999"/>
    <n v="3227"/>
    <n v="12204"/>
    <n v="4761"/>
    <n v="6145"/>
    <n v="-792"/>
    <n v="7.6738"/>
    <n v="0.16309999999999999"/>
    <n v="22.910499999999999"/>
    <n v="16.1479"/>
    <n v="19.697099999999999"/>
    <n v="25.609100000000002"/>
    <n v="0.47099999999999997"/>
    <n v="24.235099999999999"/>
    <n v="13775"/>
    <n v="1.2336"/>
    <n v="4150"/>
    <n v="3972"/>
    <n v="0"/>
  </r>
  <r>
    <x v="3"/>
    <x v="9"/>
    <x v="6"/>
    <n v="144"/>
    <n v="11716"/>
    <n v="7171"/>
    <n v="4141"/>
    <n v="1.6575"/>
    <n v="4066"/>
    <n v="9342"/>
    <n v="3743"/>
    <n v="-4097"/>
    <n v="-2866"/>
    <n v="7.9436"/>
    <n v="0.21279999999999999"/>
    <n v="44.326700000000002"/>
    <n v="31.1541"/>
    <n v="36.548999999999999"/>
    <n v="35.344799999999999"/>
    <n v="0.1057"/>
    <n v="47.712899999999998"/>
    <n v="13277"/>
    <n v="1.8122"/>
    <n v="4545"/>
    <n v="3030"/>
    <n v="0"/>
  </r>
  <r>
    <x v="4"/>
    <x v="9"/>
    <x v="6"/>
    <n v="81.44"/>
    <n v="9714"/>
    <n v="5822"/>
    <n v="3047"/>
    <n v="1.2050000000000001"/>
    <n v="3409"/>
    <n v="7471"/>
    <n v="3502"/>
    <n v="1278"/>
    <n v="-2544"/>
    <n v="8.0268999999999995"/>
    <n v="0.26769999999999999"/>
    <n v="40.784399999999998"/>
    <n v="27.106100000000001"/>
    <n v="32.222900000000003"/>
    <n v="31.367100000000001"/>
    <n v="0.57250000000000001"/>
    <n v="44.802199999999999"/>
    <n v="11528"/>
    <n v="2.4426000000000001"/>
    <n v="3892"/>
    <n v="2775"/>
    <n v="0"/>
  </r>
  <r>
    <x v="5"/>
    <x v="9"/>
    <x v="6"/>
    <n v="117.26"/>
    <n v="6910"/>
    <n v="4063"/>
    <n v="1666"/>
    <n v="0.64249999999999996"/>
    <n v="2121"/>
    <n v="5762"/>
    <n v="1672"/>
    <n v="-793"/>
    <n v="291"/>
    <n v="4.774"/>
    <n v="0.48770000000000002"/>
    <n v="28.913599999999999"/>
    <n v="16.929200000000002"/>
    <n v="21.424900000000001"/>
    <n v="24.11"/>
    <n v="9.7500000000000003E-2"/>
    <n v="33.055599999999998"/>
    <n v="10299"/>
    <n v="2.1301000000000001"/>
    <n v="2847"/>
    <n v="2397"/>
    <n v="0"/>
  </r>
  <r>
    <x v="6"/>
    <x v="9"/>
    <x v="6"/>
    <n v="57.53"/>
    <n v="5010"/>
    <n v="2811"/>
    <n v="614"/>
    <n v="0.27"/>
    <n v="973"/>
    <n v="4469"/>
    <n v="1175"/>
    <n v="-400"/>
    <n v="-676"/>
    <n v="2.5746000000000002"/>
    <n v="0.33789999999999998"/>
    <n v="13.739100000000001"/>
    <n v="8.3310999999999993"/>
    <n v="13.4472"/>
    <n v="12.2555"/>
    <n v="0.124"/>
    <n v="16.662099999999999"/>
    <n v="9227"/>
    <n v="1.2616000000000001"/>
    <n v="2199"/>
    <n v="2197"/>
    <n v="0"/>
  </r>
  <r>
    <x v="7"/>
    <x v="9"/>
    <x v="6"/>
    <n v="17.73"/>
    <n v="4682"/>
    <n v="2599"/>
    <n v="631"/>
    <n v="0.28000000000000003"/>
    <n v="1007"/>
    <n v="4418"/>
    <n v="906"/>
    <n v="-727"/>
    <n v="-834"/>
    <n v="6.3761000000000001"/>
    <n v="0.31640000000000001"/>
    <n v="14.282500000000001"/>
    <n v="8.7627000000000006"/>
    <n v="10.849399999999999"/>
    <n v="13.4772"/>
    <n v="0.1033"/>
    <n v="17.6356"/>
    <n v="9228"/>
    <n v="0.1186"/>
    <n v="2083"/>
    <n v="1968"/>
    <n v="0"/>
  </r>
  <r>
    <x v="8"/>
    <x v="9"/>
    <x v="6"/>
    <n v="10.9"/>
    <n v="4130"/>
    <n v="2268"/>
    <n v="440"/>
    <n v="0.185"/>
    <n v="740"/>
    <n v="4456.3980000000001"/>
    <n v="835"/>
    <n v="-806"/>
    <n v="390"/>
    <n v="5.9489999999999998"/>
    <n v="0.30830000000000002"/>
    <n v="9.8734000000000002"/>
    <n v="6.0682"/>
    <n v="7.5468000000000002"/>
    <n v="10.6538"/>
    <n v="-2.2000000000000001E-3"/>
    <n v="12.5099"/>
    <n v="8808"/>
    <n v="1.6222000000000001"/>
    <n v="1862"/>
    <n v="1828"/>
    <n v="0"/>
  </r>
  <r>
    <x v="9"/>
    <x v="9"/>
    <x v="6"/>
    <n v="9.11"/>
    <n v="4280.1589999999997"/>
    <n v="2226.3429999999998"/>
    <n v="562.53599999999994"/>
    <n v="0.22500000000000001"/>
    <n v="874.4742"/>
    <n v="4827.7030000000004"/>
    <n v="824.17200000000003"/>
    <n v="-743.99199999999996"/>
    <n v="-15.27"/>
    <n v="4.8916000000000004"/>
    <n v="3.8999999999999998E-3"/>
    <n v="11.6523"/>
    <n v="8.7728000000000002"/>
    <n v="11.6066"/>
    <n v="13.142899999999999"/>
    <n v="-5.6099999999999997E-2"/>
    <n v="14.519500000000001"/>
    <n v="7974"/>
    <n v="1.4648000000000001"/>
    <n v="2053.8159999999998"/>
    <n v="1663.8069999999998"/>
    <n v="0"/>
  </r>
  <r>
    <x v="10"/>
    <x v="9"/>
    <x v="6"/>
    <n v="7.66"/>
    <n v="3997.93"/>
    <n v="2056.5169999999998"/>
    <n v="581.09"/>
    <n v="0.23499999999999999"/>
    <n v="852.50379999999996"/>
    <n v="4145.7240000000002"/>
    <n v="909.15599999999995"/>
    <n v="-1143.364"/>
    <n v="236.72300000000001"/>
    <n v="4.1994999999999996"/>
    <n v="5.1999999999999998E-3"/>
    <n v="14.0166"/>
    <n v="10.464600000000001"/>
    <n v="13.9445"/>
    <n v="14.534800000000001"/>
    <n v="6.7100000000000007E-2"/>
    <n v="18.281600000000001"/>
    <n v="7133"/>
    <n v="2.0693000000000001"/>
    <n v="1941.413"/>
    <n v="1475.4269999999997"/>
    <n v="0"/>
  </r>
  <r>
    <x v="11"/>
    <x v="9"/>
    <x v="6"/>
    <n v="8.4600000000000009"/>
    <n v="3543.3090000000002"/>
    <n v="1409.09"/>
    <n v="253.14599999999999"/>
    <n v="0.1075"/>
    <n v="442.73610000000002"/>
    <n v="3181.462"/>
    <n v="675.79700000000003"/>
    <n v="-649.678"/>
    <n v="192.02099999999999"/>
    <n v="3.4232"/>
    <n v="7.4000000000000003E-3"/>
    <n v="7.9569000000000001"/>
    <n v="5.6314000000000002"/>
    <n v="7.8987999999999996"/>
    <n v="7.1443000000000003"/>
    <n v="5.8799999999999998E-2"/>
    <n v="10.034000000000001"/>
    <n v="6029"/>
    <n v="3.1568000000000001"/>
    <n v="2134.2190000000001"/>
    <n v="1155.944"/>
    <n v="0"/>
  </r>
  <r>
    <x v="12"/>
    <x v="9"/>
    <x v="6"/>
    <n v="8.9499999999999993"/>
    <n v="3326.4450000000002"/>
    <n v="1176.923"/>
    <n v="-67.986999999999995"/>
    <n v="-0.03"/>
    <n v="97.718900000000005"/>
    <n v="2665.14"/>
    <n v="487.80700000000002"/>
    <n v="-519.33299999999997"/>
    <n v="61.058999999999997"/>
    <n v="3.1627999999999998"/>
    <n v="9.1999999999999998E-3"/>
    <n v="-2.5510000000000002"/>
    <n v="-1.8958999999999999"/>
    <n v="-2.5278"/>
    <n v="-2.0438000000000001"/>
    <n v="0.25879999999999997"/>
    <n v="-3.1261000000000001"/>
    <n v="5706"/>
    <n v="1.64"/>
    <n v="2149.5219999999999"/>
    <n v="1244.9100000000001"/>
    <n v="0"/>
  </r>
  <r>
    <x v="13"/>
    <x v="9"/>
    <x v="6"/>
    <n v="10.37"/>
    <n v="3424.8589999999999"/>
    <n v="1174.269"/>
    <n v="-30.041"/>
    <n v="-1.2500000000000001E-2"/>
    <n v="114.3228"/>
    <n v="2394.652"/>
    <n v="249.36"/>
    <n v="-209.36699999999999"/>
    <n v="-349.274"/>
    <n v="2.7845"/>
    <n v="1.0699999999999999E-2"/>
    <n v="-1.2544999999999999"/>
    <n v="-0.89659999999999995"/>
    <n v="-1.2412000000000001"/>
    <n v="-0.87709999999999999"/>
    <n v="-7.22E-2"/>
    <n v="-1.5999000000000001"/>
    <n v="5420"/>
    <n v="-0.35549999999999998"/>
    <n v="2250.59"/>
    <n v="1204.31"/>
    <n v="0"/>
  </r>
  <r>
    <x v="0"/>
    <x v="10"/>
    <x v="6"/>
    <n v="109.08"/>
    <n v="63054"/>
    <n v="26866"/>
    <n v="8014"/>
    <n v="1.94"/>
    <n v="15369"/>
    <n v="103286"/>
    <n v="15433"/>
    <n v="-10477"/>
    <n v="1361"/>
    <n v="1.5676000000000001"/>
    <n v="0.40710000000000002"/>
    <n v="7.7618999999999998"/>
    <n v="4.4024999999999999"/>
    <n v="5.6870000000000003"/>
    <n v="12.7097"/>
    <n v="-4.5640000000000001"/>
    <n v="11.506"/>
    <n v="131900"/>
    <n v="8.0028000000000006"/>
    <n v="36188"/>
    <n v="18852"/>
    <n v="0"/>
  </r>
  <r>
    <x v="1"/>
    <x v="10"/>
    <x v="6"/>
    <n v="209.45"/>
    <n v="79024"/>
    <n v="43815"/>
    <n v="19868"/>
    <n v="4.8600000000000003"/>
    <n v="31248"/>
    <n v="95391"/>
    <n v="29456"/>
    <n v="-24449"/>
    <n v="-6045"/>
    <n v="2.1322999999999999"/>
    <n v="0.39939999999999998"/>
    <n v="20.827999999999999"/>
    <n v="11.797700000000001"/>
    <n v="15.413399999999999"/>
    <n v="25.1417"/>
    <n v="-2.8277999999999999"/>
    <n v="32.486400000000003"/>
    <n v="121100"/>
    <n v="4.6978999999999997"/>
    <n v="35209"/>
    <n v="23947"/>
    <n v="0"/>
  </r>
  <r>
    <x v="2"/>
    <x v="10"/>
    <x v="6"/>
    <n v="104.16"/>
    <n v="77867"/>
    <n v="43612"/>
    <n v="20899"/>
    <n v="4.9400000000000004"/>
    <n v="35917"/>
    <n v="81038"/>
    <n v="35864"/>
    <n v="-21524"/>
    <n v="-12669"/>
    <n v="1.9087000000000001"/>
    <n v="0.44919999999999999"/>
    <n v="25.789100000000001"/>
    <n v="13.651400000000001"/>
    <n v="18.183299999999999"/>
    <n v="26.839400000000001"/>
    <n v="1.2739"/>
    <n v="46.4"/>
    <n v="110600"/>
    <n v="1.2336"/>
    <n v="34255"/>
    <n v="22713"/>
    <n v="0"/>
  </r>
  <r>
    <x v="3"/>
    <x v="10"/>
    <x v="6"/>
    <n v="260.35000000000002"/>
    <n v="71965"/>
    <n v="42140"/>
    <n v="21048"/>
    <n v="4.71"/>
    <n v="32861"/>
    <n v="77504"/>
    <n v="33145"/>
    <n v="-14405"/>
    <n v="-17565"/>
    <n v="1.4001999999999999"/>
    <n v="0.37419999999999998"/>
    <n v="27.157299999999999"/>
    <n v="15.4171"/>
    <n v="20.472300000000001"/>
    <n v="29.247599999999998"/>
    <n v="0.75390000000000001"/>
    <n v="52.097700000000003"/>
    <n v="110800"/>
    <n v="1.8122"/>
    <n v="29825"/>
    <n v="21092"/>
    <n v="0"/>
  </r>
  <r>
    <x v="4"/>
    <x v="10"/>
    <x v="6"/>
    <n v="214.19"/>
    <n v="70848"/>
    <n v="43737"/>
    <n v="21053"/>
    <n v="4.4800000000000004"/>
    <n v="32401"/>
    <n v="74563"/>
    <n v="29432"/>
    <n v="-11239"/>
    <n v="-18607"/>
    <n v="1.7314000000000001"/>
    <n v="0.35349999999999998"/>
    <n v="28.235199999999999"/>
    <n v="16.452400000000001"/>
    <n v="21.124600000000001"/>
    <n v="29.715699999999998"/>
    <n v="0.89459999999999995"/>
    <n v="55.092399999999998"/>
    <n v="107400"/>
    <n v="2.4426000000000001"/>
    <n v="27111"/>
    <n v="22684"/>
    <n v="0"/>
  </r>
  <r>
    <x v="5"/>
    <x v="10"/>
    <x v="6"/>
    <n v="216.03"/>
    <n v="62761"/>
    <n v="39098"/>
    <n v="9601"/>
    <n v="1.99"/>
    <n v="26179"/>
    <n v="69019"/>
    <n v="22110"/>
    <n v="-15762"/>
    <n v="-8475"/>
    <n v="1.6934"/>
    <n v="0.38850000000000001"/>
    <n v="13.9107"/>
    <n v="7.7899000000000003"/>
    <n v="10.207800000000001"/>
    <n v="15.297700000000001"/>
    <n v="-0.36220000000000002"/>
    <n v="30.1113"/>
    <n v="102700"/>
    <n v="2.1301000000000001"/>
    <n v="23663"/>
    <n v="29497"/>
    <n v="0"/>
  </r>
  <r>
    <x v="6"/>
    <x v="10"/>
    <x v="6"/>
    <n v="171.88"/>
    <n v="59387"/>
    <n v="36233"/>
    <n v="10316"/>
    <n v="2.12"/>
    <n v="20923"/>
    <n v="66226"/>
    <n v="21808"/>
    <n v="-25817"/>
    <n v="-5739"/>
    <n v="1.7490000000000001"/>
    <n v="0.38179999999999997"/>
    <n v="15.577"/>
    <n v="9.1029"/>
    <n v="11.874499999999999"/>
    <n v="17.370799999999999"/>
    <n v="0.1101"/>
    <n v="24.197199999999999"/>
    <n v="106000"/>
    <n v="1.2616000000000001"/>
    <n v="23154"/>
    <n v="25917"/>
    <n v="0"/>
  </r>
  <r>
    <x v="7"/>
    <x v="10"/>
    <x v="6"/>
    <n v="162.57"/>
    <n v="55355"/>
    <n v="34679"/>
    <n v="11420"/>
    <n v="2.33"/>
    <n v="22713"/>
    <n v="61085"/>
    <n v="19018"/>
    <n v="-8183"/>
    <n v="1912"/>
    <n v="2.4491999999999998"/>
    <n v="0.37109999999999999"/>
    <n v="18.6953"/>
    <n v="11.255800000000001"/>
    <n v="14.0777"/>
    <n v="20.630500000000001"/>
    <n v="0.34920000000000001"/>
    <n v="24.9236"/>
    <n v="107300"/>
    <n v="0.1186"/>
    <n v="20676"/>
    <n v="23259"/>
    <n v="0"/>
  </r>
  <r>
    <x v="8"/>
    <x v="10"/>
    <x v="6"/>
    <n v="175.46"/>
    <n v="55870"/>
    <n v="35609"/>
    <n v="11704"/>
    <n v="2.31"/>
    <n v="23896"/>
    <n v="55865"/>
    <n v="20418"/>
    <n v="-9905"/>
    <n v="-13611"/>
    <n v="1.7319"/>
    <n v="0.24440000000000001"/>
    <n v="20.950500000000002"/>
    <n v="12.7356"/>
    <n v="17.231000000000002"/>
    <n v="20.948599999999999"/>
    <n v="6.5100000000000005E-2"/>
    <n v="28.857399999999998"/>
    <n v="106700"/>
    <n v="1.6222000000000001"/>
    <n v="20261"/>
    <n v="23905"/>
    <n v="0"/>
  </r>
  <r>
    <x v="9"/>
    <x v="10"/>
    <x v="6"/>
    <n v="129.02000000000001"/>
    <n v="52708"/>
    <n v="31521"/>
    <n v="9620"/>
    <n v="1.89"/>
    <n v="20323"/>
    <n v="58256"/>
    <n v="20776"/>
    <n v="-18073"/>
    <n v="-5498"/>
    <n v="2.3647"/>
    <n v="0.23080000000000001"/>
    <n v="16.513300000000001"/>
    <n v="10.416"/>
    <n v="13.4694"/>
    <n v="18.2515"/>
    <n v="0.45200000000000001"/>
    <n v="22.585899999999999"/>
    <n v="107600"/>
    <n v="1.4648000000000001"/>
    <n v="21187"/>
    <n v="21901"/>
    <n v="0"/>
  </r>
  <r>
    <x v="10"/>
    <x v="10"/>
    <x v="6"/>
    <n v="102.61"/>
    <n v="53341"/>
    <n v="33151"/>
    <n v="11005"/>
    <n v="2.13"/>
    <n v="22160"/>
    <n v="51203"/>
    <n v="18884"/>
    <n v="-14060"/>
    <n v="-1408"/>
    <n v="2.4312"/>
    <n v="0.2626"/>
    <n v="21.492899999999999"/>
    <n v="13.0467"/>
    <n v="17.104700000000001"/>
    <n v="20.631399999999999"/>
    <n v="-0.36220000000000002"/>
    <n v="31.212800000000001"/>
    <n v="105000"/>
    <n v="2.0693000000000001"/>
    <n v="20190"/>
    <n v="22146"/>
    <n v="0"/>
  </r>
  <r>
    <x v="11"/>
    <x v="10"/>
    <x v="6"/>
    <n v="123.48"/>
    <n v="53999"/>
    <n v="33757"/>
    <n v="12942"/>
    <n v="2.39"/>
    <n v="23541"/>
    <n v="45911"/>
    <n v="20963"/>
    <n v="-10301"/>
    <n v="-11100"/>
    <n v="2.1509999999999998"/>
    <n v="0.15970000000000001"/>
    <n v="28.189299999999999"/>
    <n v="18.197700000000001"/>
    <n v="24.421199999999999"/>
    <n v="23.967099999999999"/>
    <n v="-0.13139999999999999"/>
    <n v="42.586399999999998"/>
    <n v="100100"/>
    <n v="3.1568000000000001"/>
    <n v="20242"/>
    <n v="20815"/>
    <n v="0"/>
  </r>
  <r>
    <x v="12"/>
    <x v="10"/>
    <x v="6"/>
    <n v="117.31"/>
    <n v="43623"/>
    <n v="28491"/>
    <n v="11464"/>
    <n v="2.0099999999999998"/>
    <n v="20226"/>
    <n v="49430"/>
    <n v="16692"/>
    <n v="-10539"/>
    <n v="-4642"/>
    <n v="3.3892000000000002"/>
    <n v="4.2799999999999998E-2"/>
    <n v="23.192399999999999"/>
    <n v="18.1433"/>
    <n v="22.257200000000001"/>
    <n v="26.279699999999998"/>
    <n v="0.83740000000000003"/>
    <n v="26.031500000000001"/>
    <n v="82500"/>
    <n v="1.64"/>
    <n v="15132"/>
    <n v="17027"/>
    <n v="0"/>
  </r>
  <r>
    <x v="13"/>
    <x v="10"/>
    <x v="6"/>
    <n v="112.65"/>
    <n v="35127"/>
    <n v="19561"/>
    <n v="4369"/>
    <n v="0.77"/>
    <n v="10763"/>
    <n v="41704"/>
    <n v="11170"/>
    <n v="-7965"/>
    <n v="-2568"/>
    <n v="2.7871000000000001"/>
    <n v="5.33E-2"/>
    <n v="10.4762"/>
    <n v="8.2286000000000001"/>
    <n v="9.9855999999999998"/>
    <n v="12.4377"/>
    <n v="1.1789000000000001"/>
    <n v="11.718500000000001"/>
    <n v="79800"/>
    <n v="-0.35549999999999998"/>
    <n v="15566"/>
    <n v="15192"/>
    <n v="0"/>
  </r>
  <r>
    <x v="0"/>
    <x v="11"/>
    <x v="7"/>
    <n v="856.94"/>
    <n v="513983"/>
    <n v="225152"/>
    <n v="-2722"/>
    <n v="-0.27"/>
    <n v="54169"/>
    <n v="146043"/>
    <n v="46752"/>
    <n v="-37601"/>
    <n v="9718"/>
    <n v="0.9446"/>
    <n v="0.45979999999999999"/>
    <n v="-1.8637999999999999"/>
    <n v="-0.58830000000000005"/>
    <n v="-1.2767999999999999"/>
    <n v="-0.52959999999999996"/>
    <n v="-0.25459999999999999"/>
    <n v="-2.1644999999999999"/>
    <n v="1541000"/>
    <n v="8.0028000000000006"/>
    <n v="288831"/>
    <n v="227874"/>
    <n v="0"/>
  </r>
  <r>
    <x v="1"/>
    <x v="11"/>
    <x v="7"/>
    <n v="1691"/>
    <n v="469822"/>
    <n v="197478"/>
    <n v="33364"/>
    <n v="3.24"/>
    <n v="59312"/>
    <n v="138245"/>
    <n v="46327"/>
    <n v="-58154"/>
    <n v="6291"/>
    <n v="1.1357999999999999"/>
    <n v="0.35260000000000002"/>
    <n v="24.134"/>
    <n v="7.9333999999999998"/>
    <n v="17.8428"/>
    <n v="7.1013999999999999"/>
    <n v="-3.9226000000000001"/>
    <n v="27.152999999999999"/>
    <n v="1608000"/>
    <n v="4.6978999999999997"/>
    <n v="272344"/>
    <n v="164114"/>
    <n v="0"/>
  </r>
  <r>
    <x v="2"/>
    <x v="11"/>
    <x v="7"/>
    <n v="1634.16"/>
    <n v="386064"/>
    <n v="152757"/>
    <n v="21331"/>
    <n v="2.09"/>
    <n v="48079"/>
    <n v="93404"/>
    <n v="66064"/>
    <n v="-59611"/>
    <n v="-1104"/>
    <n v="1.0502"/>
    <n v="0.34060000000000001"/>
    <n v="22.837399999999999"/>
    <n v="6.6410999999999998"/>
    <n v="17.034800000000001"/>
    <n v="5.5251999999999999"/>
    <n v="0.4798"/>
    <n v="27.212399999999999"/>
    <n v="1298000"/>
    <n v="1.2336"/>
    <n v="233307"/>
    <n v="131426"/>
    <n v="0"/>
  </r>
  <r>
    <x v="3"/>
    <x v="11"/>
    <x v="7"/>
    <n v="916.15"/>
    <n v="280522"/>
    <n v="114986"/>
    <n v="11588"/>
    <n v="1.1505000000000001"/>
    <n v="36330"/>
    <n v="62060"/>
    <n v="38514"/>
    <n v="-24281"/>
    <n v="-10066"/>
    <n v="1.097"/>
    <n v="0.37730000000000002"/>
    <n v="18.6723"/>
    <n v="5.1445999999999996"/>
    <n v="13.5573"/>
    <n v="4.1308999999999996"/>
    <n v="0.622"/>
    <n v="24.495799999999999"/>
    <n v="798000"/>
    <n v="1.8122"/>
    <n v="165536"/>
    <n v="103398"/>
    <n v="0"/>
  </r>
  <r>
    <x v="4"/>
    <x v="11"/>
    <x v="7"/>
    <n v="734.42"/>
    <n v="232887"/>
    <n v="93731"/>
    <n v="10073"/>
    <n v="1.0069999999999999"/>
    <n v="27762"/>
    <n v="43549"/>
    <n v="30723"/>
    <n v="-12369"/>
    <n v="-7686"/>
    <n v="1.0981000000000001"/>
    <n v="0.53949999999999998"/>
    <n v="23.130299999999998"/>
    <n v="6.1931000000000003"/>
    <n v="15.0245"/>
    <n v="4.3253000000000004"/>
    <n v="1.0974999999999999"/>
    <n v="34.7333"/>
    <n v="647500"/>
    <n v="2.4426000000000001"/>
    <n v="139156"/>
    <n v="83658"/>
    <n v="0"/>
  </r>
  <r>
    <x v="5"/>
    <x v="11"/>
    <x v="7"/>
    <n v="563.54"/>
    <n v="177866"/>
    <n v="65932"/>
    <n v="3033"/>
    <n v="0.3075"/>
    <n v="15584"/>
    <n v="27709"/>
    <n v="18365"/>
    <n v="-27084"/>
    <n v="9928"/>
    <n v="1.04"/>
    <n v="0.89300000000000002"/>
    <n v="10.9459"/>
    <n v="2.3098000000000001"/>
    <n v="5.7824"/>
    <n v="1.7052"/>
    <n v="-0.2387"/>
    <n v="21.122599999999998"/>
    <n v="566000"/>
    <n v="2.1301000000000001"/>
    <n v="111934"/>
    <n v="62899"/>
    <n v="0"/>
  </r>
  <r>
    <x v="6"/>
    <x v="11"/>
    <x v="7"/>
    <n v="356.31"/>
    <n v="135987"/>
    <n v="47722"/>
    <n v="2371"/>
    <n v="0.245"/>
    <n v="12302"/>
    <n v="19285"/>
    <n v="17203"/>
    <n v="-9516"/>
    <n v="-3716"/>
    <n v="1.0448"/>
    <n v="0.39900000000000002"/>
    <n v="12.294499999999999"/>
    <n v="2.8429000000000002"/>
    <n v="8.7882999999999996"/>
    <n v="1.7435"/>
    <n v="0.30030000000000001"/>
    <n v="15.2958"/>
    <n v="341400"/>
    <n v="1.2616000000000001"/>
    <n v="88265"/>
    <n v="45351"/>
    <n v="0"/>
  </r>
  <r>
    <x v="7"/>
    <x v="11"/>
    <x v="7"/>
    <n v="316.83"/>
    <n v="107006"/>
    <n v="35355"/>
    <n v="596"/>
    <n v="6.25E-2"/>
    <n v="8514"/>
    <n v="13384"/>
    <n v="12039"/>
    <n v="-6450"/>
    <n v="-3882"/>
    <n v="1.0536000000000001"/>
    <n v="0.61470000000000002"/>
    <n v="4.4531000000000001"/>
    <n v="0.92049999999999998"/>
    <n v="2.7578999999999998"/>
    <n v="0.55700000000000005"/>
    <n v="0.56999999999999995"/>
    <n v="6.1921999999999997"/>
    <n v="230800"/>
    <n v="0.1186"/>
    <n v="71651"/>
    <n v="34759"/>
    <n v="0"/>
  </r>
  <r>
    <x v="8"/>
    <x v="11"/>
    <x v="7"/>
    <n v="143.69999999999999"/>
    <n v="88988"/>
    <n v="26236"/>
    <n v="-241"/>
    <n v="-2.5999999999999999E-2"/>
    <n v="4924"/>
    <n v="10741"/>
    <n v="6842"/>
    <n v="-5065"/>
    <n v="4432"/>
    <n v="1.1153"/>
    <n v="0.76949999999999996"/>
    <n v="-2.2437"/>
    <n v="-0.44219999999999998"/>
    <n v="-1.268"/>
    <n v="-0.27079999999999999"/>
    <n v="-7.4999999999999997E-3"/>
    <n v="-3.2471000000000001"/>
    <n v="154100"/>
    <n v="1.6222000000000001"/>
    <n v="62752"/>
    <n v="26477"/>
    <n v="0"/>
  </r>
  <r>
    <x v="9"/>
    <x v="11"/>
    <x v="7"/>
    <n v="182.54"/>
    <n v="74452"/>
    <n v="20271"/>
    <n v="274"/>
    <n v="2.9499999999999998E-2"/>
    <n v="3998"/>
    <n v="9746"/>
    <n v="5475"/>
    <n v="-4276"/>
    <n v="-539"/>
    <n v="1.0716000000000001"/>
    <n v="0.32740000000000002"/>
    <n v="2.8113999999999999"/>
    <n v="0.68230000000000002"/>
    <n v="2.1179999999999999"/>
    <n v="0.36799999999999999"/>
    <n v="0.17480000000000001"/>
    <n v="3.8641000000000001"/>
    <n v="117300"/>
    <n v="1.4648000000000001"/>
    <n v="54181"/>
    <n v="19997"/>
    <n v="0"/>
  </r>
  <r>
    <x v="10"/>
    <x v="11"/>
    <x v="7"/>
    <n v="113.63"/>
    <n v="61093"/>
    <n v="15122"/>
    <n v="-39"/>
    <n v="-4.4999999999999997E-3"/>
    <n v="2835"/>
    <n v="8192"/>
    <n v="4180"/>
    <n v="-3595"/>
    <n v="2259"/>
    <n v="1.1207"/>
    <n v="0.3765"/>
    <n v="-0.47610000000000002"/>
    <n v="-0.1198"/>
    <n v="-0.34589999999999999"/>
    <n v="-6.3799999999999996E-2"/>
    <n v="-0.18329999999999999"/>
    <n v="-0.6915"/>
    <n v="88400"/>
    <n v="2.0693000000000001"/>
    <n v="45971"/>
    <n v="15161"/>
    <n v="0"/>
  </r>
  <r>
    <x v="11"/>
    <x v="11"/>
    <x v="7"/>
    <n v="78.72"/>
    <n v="48077"/>
    <n v="10789"/>
    <n v="631"/>
    <n v="6.8500000000000005E-2"/>
    <n v="1945"/>
    <n v="7757"/>
    <n v="3903"/>
    <n v="-1930"/>
    <n v="-482"/>
    <n v="1.1740999999999999"/>
    <n v="3.2899999999999999E-2"/>
    <n v="8.1346000000000007"/>
    <n v="2.4962"/>
    <n v="7.8757000000000001"/>
    <n v="1.3125"/>
    <n v="-4.9000000000000002E-2"/>
    <n v="10.8756"/>
    <n v="56200"/>
    <n v="3.1568000000000001"/>
    <n v="37288"/>
    <n v="10158"/>
    <n v="0"/>
  </r>
  <r>
    <x v="12"/>
    <x v="11"/>
    <x v="7"/>
    <n v="80.790000000000006"/>
    <n v="34204"/>
    <n v="7643"/>
    <n v="1152"/>
    <n v="0.1265"/>
    <n v="1974"/>
    <n v="6864"/>
    <n v="3495"/>
    <n v="-3360"/>
    <n v="181"/>
    <n v="1.3253999999999999"/>
    <n v="0.22739999999999999"/>
    <n v="16.783200000000001"/>
    <n v="6.1285999999999996"/>
    <n v="13.6736"/>
    <n v="3.3679999999999999"/>
    <n v="-5.4399999999999997E-2"/>
    <n v="20.888500000000001"/>
    <n v="33700"/>
    <n v="1.64"/>
    <n v="26561"/>
    <n v="6491"/>
    <n v="0"/>
  </r>
  <r>
    <x v="13"/>
    <x v="11"/>
    <x v="7"/>
    <n v="58.24"/>
    <n v="24509"/>
    <n v="5531"/>
    <n v="902"/>
    <n v="0.10199999999999999"/>
    <n v="1507"/>
    <n v="5257"/>
    <n v="3293"/>
    <n v="-2337"/>
    <n v="-280"/>
    <n v="1.3304"/>
    <n v="0.20069999999999999"/>
    <n v="17.158100000000001"/>
    <n v="6.5301"/>
    <n v="17.158100000000001"/>
    <n v="3.6802999999999999"/>
    <n v="0.33029999999999998"/>
    <n v="22.421099999999999"/>
    <n v="24300"/>
    <n v="-0.35549999999999998"/>
    <n v="18978"/>
    <n v="462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B94C8-CF21-4CD0-9625-C60DB4DF8F60}" name="PivotTable15"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1">
  <location ref="A16:C29" firstHeaderRow="0" firstDataRow="1" firstDataCol="1"/>
  <pivotFields count="26">
    <pivotField compact="0" outline="0" showAll="0">
      <items count="16">
        <item x="13"/>
        <item x="12"/>
        <item x="11"/>
        <item x="10"/>
        <item x="9"/>
        <item x="8"/>
        <item x="7"/>
        <item x="6"/>
        <item x="5"/>
        <item x="4"/>
        <item x="3"/>
        <item x="2"/>
        <item x="1"/>
        <item x="0"/>
        <item x="14"/>
        <item t="default"/>
      </items>
      <extLst>
        <ext xmlns:x14="http://schemas.microsoft.com/office/spreadsheetml/2009/9/main" uri="{2946ED86-A175-432a-8AC1-64E0C546D7DE}">
          <x14:pivotField fillDownLabels="1"/>
        </ext>
      </extLst>
    </pivotField>
    <pivotField axis="axisRow" compact="0" outline="0" showAll="0" sortType="ascending">
      <items count="13">
        <item x="0"/>
        <item x="4"/>
        <item x="11"/>
        <item x="8"/>
        <item x="2"/>
        <item x="10"/>
        <item x="7"/>
        <item x="1"/>
        <item x="9"/>
        <item x="5"/>
        <item x="3"/>
        <item x="6"/>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items count="9">
        <item x="2"/>
        <item x="6"/>
        <item x="4"/>
        <item x="1"/>
        <item x="5"/>
        <item x="0"/>
        <item x="7"/>
        <item x="3"/>
        <item t="default"/>
      </items>
      <extLst>
        <ext xmlns:x14="http://schemas.microsoft.com/office/spreadsheetml/2009/9/main" uri="{2946ED86-A175-432a-8AC1-64E0C546D7DE}">
          <x14:pivotField fillDownLabels="1"/>
        </ext>
      </extLst>
    </pivotField>
    <pivotField compact="0" numFmtId="4" outline="0" showAll="0">
      <extLst>
        <ext xmlns:x14="http://schemas.microsoft.com/office/spreadsheetml/2009/9/main" uri="{2946ED86-A175-432a-8AC1-64E0C546D7DE}">
          <x14:pivotField fillDownLabels="1"/>
        </ext>
      </extLst>
    </pivotField>
    <pivotField dataField="1"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dataField="1" compact="0" numFmtId="3" outline="0" showAll="0">
      <extLst>
        <ext xmlns:x14="http://schemas.microsoft.com/office/spreadsheetml/2009/9/main" uri="{2946ED86-A175-432a-8AC1-64E0C546D7DE}">
          <x14:pivotField fillDownLabels="1"/>
        </ext>
      </extLst>
    </pivotField>
    <pivotField compact="0" numFmtId="4"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4" outline="0" showAll="0">
      <extLst>
        <ext xmlns:x14="http://schemas.microsoft.com/office/spreadsheetml/2009/9/main" uri="{2946ED86-A175-432a-8AC1-64E0C546D7DE}">
          <x14:pivotField fillDownLabels="1"/>
        </ext>
      </extLst>
    </pivotField>
    <pivotField compact="0" numFmtId="4" outline="0" showAll="0">
      <extLst>
        <ext xmlns:x14="http://schemas.microsoft.com/office/spreadsheetml/2009/9/main" uri="{2946ED86-A175-432a-8AC1-64E0C546D7DE}">
          <x14:pivotField fillDownLabels="1"/>
        </ext>
      </extLst>
    </pivotField>
    <pivotField compact="0" numFmtId="43" outline="0" showAll="0">
      <extLst>
        <ext xmlns:x14="http://schemas.microsoft.com/office/spreadsheetml/2009/9/main" uri="{2946ED86-A175-432a-8AC1-64E0C546D7DE}">
          <x14:pivotField fillDownLabels="1"/>
        </ext>
      </extLst>
    </pivotField>
    <pivotField compact="0" numFmtId="43" outline="0" showAll="0">
      <extLst>
        <ext xmlns:x14="http://schemas.microsoft.com/office/spreadsheetml/2009/9/main" uri="{2946ED86-A175-432a-8AC1-64E0C546D7DE}">
          <x14:pivotField fillDownLabels="1"/>
        </ext>
      </extLst>
    </pivotField>
    <pivotField compact="0" numFmtId="4" outline="0" showAll="0">
      <extLst>
        <ext xmlns:x14="http://schemas.microsoft.com/office/spreadsheetml/2009/9/main" uri="{2946ED86-A175-432a-8AC1-64E0C546D7DE}">
          <x14:pivotField fillDownLabels="1"/>
        </ext>
      </extLst>
    </pivotField>
    <pivotField compact="0" numFmtId="4" outline="0" showAll="0">
      <extLst>
        <ext xmlns:x14="http://schemas.microsoft.com/office/spreadsheetml/2009/9/main" uri="{2946ED86-A175-432a-8AC1-64E0C546D7DE}">
          <x14:pivotField fillDownLabels="1"/>
        </ext>
      </extLst>
    </pivotField>
    <pivotField compact="0" numFmtId="4" outline="0" showAll="0">
      <extLst>
        <ext xmlns:x14="http://schemas.microsoft.com/office/spreadsheetml/2009/9/main" uri="{2946ED86-A175-432a-8AC1-64E0C546D7DE}">
          <x14:pivotField fillDownLabels="1"/>
        </ext>
      </extLst>
    </pivotField>
    <pivotField compact="0" numFmtId="4"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4"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1"/>
  </rowFields>
  <rowItems count="13">
    <i>
      <x v="8"/>
    </i>
    <i>
      <x v="10"/>
    </i>
    <i>
      <x v="9"/>
    </i>
    <i>
      <x v="6"/>
    </i>
    <i>
      <x v="11"/>
    </i>
    <i>
      <x v="3"/>
    </i>
    <i>
      <x v="1"/>
    </i>
    <i>
      <x v="5"/>
    </i>
    <i>
      <x v="4"/>
    </i>
    <i>
      <x v="7"/>
    </i>
    <i>
      <x v="2"/>
    </i>
    <i>
      <x/>
    </i>
    <i t="grand">
      <x/>
    </i>
  </rowItems>
  <colFields count="1">
    <field x="-2"/>
  </colFields>
  <colItems count="2">
    <i>
      <x/>
    </i>
    <i i="1">
      <x v="1"/>
    </i>
  </colItems>
  <dataFields count="2">
    <dataField name="Total Revenue" fld="4" baseField="0" baseItem="0" numFmtId="167"/>
    <dataField name="Total Net Income" fld="6" baseField="0" baseItem="0" numFmtId="167"/>
  </dataFields>
  <formats count="5">
    <format dxfId="158">
      <pivotArea dataOnly="0" labelOnly="1" outline="0" fieldPosition="0">
        <references count="1">
          <reference field="1" count="0"/>
        </references>
      </pivotArea>
    </format>
    <format dxfId="157">
      <pivotArea field="1" dataOnly="0" labelOnly="1" grandRow="1" outline="0" axis="axisRow" fieldPosition="0">
        <references count="1">
          <reference field="4294967294" count="1" selected="0">
            <x v="0"/>
          </reference>
        </references>
      </pivotArea>
    </format>
    <format dxfId="156">
      <pivotArea field="1" dataOnly="0" labelOnly="1" grandRow="1" outline="0" axis="axisRow" fieldPosition="0">
        <references count="1">
          <reference field="4294967294" count="1" selected="0">
            <x v="1"/>
          </reference>
        </references>
      </pivotArea>
    </format>
    <format dxfId="155">
      <pivotArea dataOnly="0" labelOnly="1" outline="0" fieldPosition="0">
        <references count="1">
          <reference field="4294967294" count="2">
            <x v="0"/>
            <x v="1"/>
          </reference>
        </references>
      </pivotArea>
    </format>
    <format dxfId="154">
      <pivotArea outline="0" fieldPosition="0">
        <references count="1">
          <reference field="4294967294" count="2" selected="0">
            <x v="0"/>
            <x v="1"/>
          </reference>
        </references>
      </pivotArea>
    </format>
  </formats>
  <chartFormats count="2">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0E7DAC-456E-45C8-9E66-FAADCFA2723A}" name="PivotTable14" cacheId="0" dataOnRows="1" applyNumberFormats="0" applyBorderFormats="0" applyFontFormats="0" applyPatternFormats="0" applyAlignmentFormats="0" applyWidthHeightFormats="1" dataCaption="Total" updatedVersion="8" minRefreshableVersion="3" itemPrintTitles="1" createdVersion="8" indent="0" outline="1" outlineData="1" multipleFieldFilters="0">
  <location ref="A8:B13" firstHeaderRow="1" firstDataRow="1" firstDataCol="1"/>
  <pivotFields count="26">
    <pivotField showAll="0">
      <items count="16">
        <item x="13"/>
        <item x="12"/>
        <item x="11"/>
        <item x="10"/>
        <item x="9"/>
        <item x="8"/>
        <item x="7"/>
        <item x="6"/>
        <item x="5"/>
        <item x="4"/>
        <item x="3"/>
        <item x="2"/>
        <item x="1"/>
        <item x="0"/>
        <item x="14"/>
        <item t="default"/>
      </items>
    </pivotField>
    <pivotField showAll="0">
      <items count="13">
        <item x="0"/>
        <item x="4"/>
        <item x="11"/>
        <item x="8"/>
        <item x="2"/>
        <item x="10"/>
        <item x="7"/>
        <item x="1"/>
        <item x="9"/>
        <item x="5"/>
        <item x="3"/>
        <item x="6"/>
        <item t="default"/>
      </items>
    </pivotField>
    <pivotField showAll="0">
      <items count="9">
        <item x="2"/>
        <item x="6"/>
        <item x="4"/>
        <item x="1"/>
        <item x="5"/>
        <item x="0"/>
        <item x="7"/>
        <item x="3"/>
        <item t="default"/>
      </items>
    </pivotField>
    <pivotField numFmtId="4" showAll="0"/>
    <pivotField dataField="1" numFmtId="3" showAll="0"/>
    <pivotField dataField="1" numFmtId="3" showAll="0"/>
    <pivotField dataField="1" numFmtId="3" showAll="0"/>
    <pivotField numFmtId="4" showAll="0"/>
    <pivotField numFmtId="3" showAll="0"/>
    <pivotField numFmtId="3" showAll="0"/>
    <pivotField numFmtId="3" showAll="0"/>
    <pivotField numFmtId="3" showAll="0"/>
    <pivotField numFmtId="3" showAll="0"/>
    <pivotField numFmtId="4" showAll="0"/>
    <pivotField numFmtId="4" showAll="0"/>
    <pivotField numFmtId="43" showAll="0"/>
    <pivotField numFmtId="43" showAll="0"/>
    <pivotField numFmtId="4" showAll="0"/>
    <pivotField numFmtId="4" showAll="0"/>
    <pivotField numFmtId="4" showAll="0"/>
    <pivotField numFmtId="4" showAll="0"/>
    <pivotField numFmtId="3" showAll="0"/>
    <pivotField numFmtId="4" showAll="0"/>
    <pivotField dataField="1" numFmtId="3" showAll="0"/>
    <pivotField dataField="1" numFmtId="3" showAll="0"/>
    <pivotField showAll="0"/>
  </pivotFields>
  <rowFields count="1">
    <field x="-2"/>
  </rowFields>
  <rowItems count="5">
    <i>
      <x/>
    </i>
    <i i="1">
      <x v="1"/>
    </i>
    <i i="2">
      <x v="2"/>
    </i>
    <i i="3">
      <x v="3"/>
    </i>
    <i i="4">
      <x v="4"/>
    </i>
  </rowItems>
  <colItems count="1">
    <i/>
  </colItems>
  <dataFields count="5">
    <dataField name="Total Revenue" fld="4" baseField="0" baseItem="0" numFmtId="3"/>
    <dataField name="Total COGS" fld="23" baseField="0" baseItem="0" numFmtId="3"/>
    <dataField name="Total Gross Profit" fld="5" baseField="0" baseItem="0" numFmtId="3"/>
    <dataField name="Total OPEX_Others" fld="24" baseField="0" baseItem="0" numFmtId="3"/>
    <dataField name="Total Net Income" fld="6" baseField="0" baseItem="0" numFmtId="3"/>
  </dataFields>
  <formats count="3">
    <format dxfId="161">
      <pivotArea collapsedLevelsAreSubtotals="1" fieldPosition="0">
        <references count="1">
          <reference field="4294967294" count="1">
            <x v="0"/>
          </reference>
        </references>
      </pivotArea>
    </format>
    <format dxfId="160">
      <pivotArea collapsedLevelsAreSubtotals="1" fieldPosition="0">
        <references count="1">
          <reference field="4294967294" count="1">
            <x v="4"/>
          </reference>
        </references>
      </pivotArea>
    </format>
    <format dxfId="1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036857-B131-4310-AA73-772243B4A46C}" name="PivotTable13" cacheId="0" dataOnRows="1" applyNumberFormats="0" applyBorderFormats="0" applyFontFormats="0" applyPatternFormats="0" applyAlignmentFormats="0" applyWidthHeightFormats="1" dataCaption="Total" updatedVersion="8" minRefreshableVersion="3" itemPrintTitles="1" createdVersion="8" indent="0" outline="1" outlineData="1" multipleFieldFilters="0">
  <location ref="A1:B5" firstHeaderRow="1" firstDataRow="1" firstDataCol="1"/>
  <pivotFields count="26">
    <pivotField showAll="0">
      <items count="16">
        <item x="13"/>
        <item x="12"/>
        <item x="11"/>
        <item x="10"/>
        <item x="9"/>
        <item x="8"/>
        <item x="7"/>
        <item x="6"/>
        <item x="5"/>
        <item x="4"/>
        <item x="3"/>
        <item x="2"/>
        <item x="1"/>
        <item x="0"/>
        <item x="14"/>
        <item t="default"/>
      </items>
    </pivotField>
    <pivotField showAll="0">
      <items count="13">
        <item x="0"/>
        <item x="4"/>
        <item x="11"/>
        <item x="8"/>
        <item x="2"/>
        <item x="10"/>
        <item x="7"/>
        <item x="1"/>
        <item x="9"/>
        <item x="5"/>
        <item x="3"/>
        <item x="6"/>
        <item t="default"/>
      </items>
    </pivotField>
    <pivotField showAll="0">
      <items count="9">
        <item x="2"/>
        <item x="6"/>
        <item x="4"/>
        <item x="1"/>
        <item x="5"/>
        <item x="0"/>
        <item x="7"/>
        <item x="3"/>
        <item t="default"/>
      </items>
    </pivotField>
    <pivotField numFmtId="4" showAll="0"/>
    <pivotField dataField="1" numFmtId="3" showAll="0"/>
    <pivotField dataField="1" numFmtId="3" showAll="0"/>
    <pivotField dataField="1" numFmtId="3" showAll="0"/>
    <pivotField numFmtId="4" showAll="0"/>
    <pivotField numFmtId="3" showAll="0"/>
    <pivotField numFmtId="3" showAll="0"/>
    <pivotField numFmtId="3" showAll="0"/>
    <pivotField numFmtId="3" showAll="0"/>
    <pivotField numFmtId="3" showAll="0"/>
    <pivotField numFmtId="4" showAll="0"/>
    <pivotField numFmtId="4" showAll="0"/>
    <pivotField numFmtId="43" showAll="0"/>
    <pivotField numFmtId="43" showAll="0"/>
    <pivotField numFmtId="4" showAll="0"/>
    <pivotField dataField="1" numFmtId="4" showAll="0"/>
    <pivotField numFmtId="4" showAll="0"/>
    <pivotField numFmtId="4" showAll="0"/>
    <pivotField numFmtId="3" showAll="0"/>
    <pivotField numFmtId="4" showAll="0"/>
    <pivotField numFmtId="3" showAll="0"/>
    <pivotField numFmtId="3" showAll="0"/>
    <pivotField showAll="0"/>
  </pivotFields>
  <rowFields count="1">
    <field x="-2"/>
  </rowFields>
  <rowItems count="4">
    <i>
      <x/>
    </i>
    <i i="1">
      <x v="1"/>
    </i>
    <i i="2">
      <x v="2"/>
    </i>
    <i i="3">
      <x v="3"/>
    </i>
  </rowItems>
  <colItems count="1">
    <i/>
  </colItems>
  <dataFields count="4">
    <dataField name="Total Revenue" fld="4" baseField="0" baseItem="0" numFmtId="3"/>
    <dataField name="Total Gross Profit" fld="5" baseField="0" baseItem="0" numFmtId="3"/>
    <dataField name="Total Net Income" fld="6" baseField="0" baseItem="0" numFmtId="3"/>
    <dataField name="Total Net Profit Margin" fld="18" subtotal="average" baseField="0" baseItem="0" numFmtId="4"/>
  </dataFields>
  <formats count="3">
    <format dxfId="164">
      <pivotArea collapsedLevelsAreSubtotals="1" fieldPosition="0">
        <references count="1">
          <reference field="4294967294" count="3">
            <x v="0"/>
            <x v="1"/>
            <x v="2"/>
          </reference>
        </references>
      </pivotArea>
    </format>
    <format dxfId="163">
      <pivotArea outline="0" collapsedLevelsAreSubtotals="1" fieldPosition="0"/>
    </format>
    <format dxfId="162">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8FE98C-4E45-40DC-A4D5-CB69987C7277}"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44:C60" firstHeaderRow="0" firstDataRow="1" firstDataCol="1"/>
  <pivotFields count="26">
    <pivotField axis="axisRow" showAll="0">
      <items count="16">
        <item x="13"/>
        <item x="12"/>
        <item x="11"/>
        <item x="10"/>
        <item x="9"/>
        <item x="8"/>
        <item x="7"/>
        <item x="6"/>
        <item x="5"/>
        <item x="4"/>
        <item x="3"/>
        <item x="2"/>
        <item x="1"/>
        <item x="0"/>
        <item x="14"/>
        <item t="default"/>
      </items>
    </pivotField>
    <pivotField showAll="0">
      <items count="13">
        <item x="0"/>
        <item x="4"/>
        <item x="11"/>
        <item x="8"/>
        <item x="2"/>
        <item x="10"/>
        <item x="7"/>
        <item x="1"/>
        <item x="9"/>
        <item x="5"/>
        <item x="3"/>
        <item x="6"/>
        <item t="default"/>
      </items>
    </pivotField>
    <pivotField showAll="0">
      <items count="9">
        <item x="2"/>
        <item x="6"/>
        <item x="4"/>
        <item x="1"/>
        <item x="5"/>
        <item x="0"/>
        <item x="7"/>
        <item x="3"/>
        <item t="default"/>
      </items>
    </pivotField>
    <pivotField numFmtId="4" showAll="0"/>
    <pivotField dataField="1" numFmtId="3" showAll="0"/>
    <pivotField numFmtId="3" showAll="0"/>
    <pivotField dataField="1" numFmtId="3" showAll="0"/>
    <pivotField numFmtId="4" showAll="0"/>
    <pivotField numFmtId="3" showAll="0"/>
    <pivotField numFmtId="3" showAll="0"/>
    <pivotField numFmtId="3" showAll="0"/>
    <pivotField numFmtId="3" showAll="0"/>
    <pivotField numFmtId="3" showAll="0"/>
    <pivotField numFmtId="4" showAll="0"/>
    <pivotField numFmtId="4" showAll="0"/>
    <pivotField numFmtId="43" showAll="0"/>
    <pivotField numFmtId="43" showAll="0"/>
    <pivotField numFmtId="4" showAll="0"/>
    <pivotField numFmtId="4" showAll="0"/>
    <pivotField numFmtId="4" showAll="0"/>
    <pivotField numFmtId="4" showAll="0"/>
    <pivotField numFmtId="3" showAll="0"/>
    <pivotField numFmtId="4" showAll="0"/>
    <pivotField numFmtId="3" showAll="0"/>
    <pivotField numFmtId="3" showAll="0"/>
    <pivotField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Total Revenue" fld="4" baseField="0" baseItem="0" numFmtId="3"/>
    <dataField name="Total Net Income" fld="6" baseField="0" baseItem="0" numFmtId="3"/>
  </dataFields>
  <formats count="2">
    <format dxfId="166">
      <pivotArea outline="0" collapsedLevelsAreSubtotals="1" fieldPosition="0"/>
    </format>
    <format dxfId="165">
      <pivotArea dataOnly="0" labelOnly="1" outline="0" fieldPosition="0">
        <references count="1">
          <reference field="4294967294" count="2">
            <x v="0"/>
            <x v="1"/>
          </reference>
        </references>
      </pivotArea>
    </format>
  </formats>
  <chartFormats count="2">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664967-2A83-4DA6-884E-E0D0A844FD0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C41" firstHeaderRow="0" firstDataRow="1" firstDataCol="1"/>
  <pivotFields count="26">
    <pivotField showAll="0">
      <items count="16">
        <item x="13"/>
        <item x="12"/>
        <item x="11"/>
        <item x="10"/>
        <item x="9"/>
        <item x="8"/>
        <item x="7"/>
        <item x="6"/>
        <item x="5"/>
        <item x="4"/>
        <item x="3"/>
        <item x="2"/>
        <item x="1"/>
        <item x="0"/>
        <item x="14"/>
        <item t="default"/>
      </items>
    </pivotField>
    <pivotField showAll="0">
      <items count="13">
        <item x="0"/>
        <item x="4"/>
        <item x="11"/>
        <item x="8"/>
        <item x="2"/>
        <item x="10"/>
        <item x="7"/>
        <item x="1"/>
        <item x="9"/>
        <item x="5"/>
        <item x="3"/>
        <item x="6"/>
        <item t="default"/>
      </items>
    </pivotField>
    <pivotField axis="axisRow" showAll="0" sortType="ascending">
      <items count="9">
        <item x="2"/>
        <item x="6"/>
        <item x="4"/>
        <item x="1"/>
        <item x="5"/>
        <item x="0"/>
        <item x="7"/>
        <item x="3"/>
        <item t="default"/>
      </items>
      <autoSortScope>
        <pivotArea dataOnly="0" outline="0" fieldPosition="0">
          <references count="1">
            <reference field="4294967294" count="1" selected="0">
              <x v="0"/>
            </reference>
          </references>
        </pivotArea>
      </autoSortScope>
    </pivotField>
    <pivotField numFmtId="4" showAll="0"/>
    <pivotField dataField="1" numFmtId="3" showAll="0"/>
    <pivotField numFmtId="3" showAll="0"/>
    <pivotField dataField="1" numFmtId="3" showAll="0"/>
    <pivotField numFmtId="4" showAll="0"/>
    <pivotField numFmtId="3" showAll="0"/>
    <pivotField numFmtId="3" showAll="0"/>
    <pivotField numFmtId="3" showAll="0"/>
    <pivotField numFmtId="3" showAll="0"/>
    <pivotField numFmtId="3" showAll="0"/>
    <pivotField numFmtId="4" showAll="0"/>
    <pivotField numFmtId="4" showAll="0"/>
    <pivotField numFmtId="43" showAll="0"/>
    <pivotField numFmtId="43" showAll="0"/>
    <pivotField numFmtId="4" showAll="0"/>
    <pivotField numFmtId="4" showAll="0"/>
    <pivotField numFmtId="4" showAll="0"/>
    <pivotField numFmtId="4" showAll="0"/>
    <pivotField numFmtId="3" showAll="0"/>
    <pivotField numFmtId="4" showAll="0"/>
    <pivotField numFmtId="3" showAll="0"/>
    <pivotField numFmtId="3" showAll="0"/>
    <pivotField showAll="0"/>
  </pivotFields>
  <rowFields count="1">
    <field x="2"/>
  </rowFields>
  <rowItems count="9">
    <i>
      <x v="3"/>
    </i>
    <i>
      <x v="7"/>
    </i>
    <i>
      <x v="4"/>
    </i>
    <i>
      <x v="2"/>
    </i>
    <i>
      <x v="1"/>
    </i>
    <i>
      <x/>
    </i>
    <i>
      <x v="6"/>
    </i>
    <i>
      <x v="5"/>
    </i>
    <i t="grand">
      <x/>
    </i>
  </rowItems>
  <colFields count="1">
    <field x="-2"/>
  </colFields>
  <colItems count="2">
    <i>
      <x/>
    </i>
    <i i="1">
      <x v="1"/>
    </i>
  </colItems>
  <dataFields count="2">
    <dataField name="Total Revenue " fld="4" baseField="0" baseItem="0" numFmtId="3"/>
    <dataField name="Total Net income" fld="6" baseField="0" baseItem="0" numFmtId="3"/>
  </dataFields>
  <formats count="1">
    <format dxfId="167">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1D4FB5E8-9C41-47D0-ABC7-5B611DEB059E}" sourceName="Company ">
  <pivotTables>
    <pivotTable tabId="3" name="PivotTable13"/>
    <pivotTable tabId="3" name="PivotTable14"/>
    <pivotTable tabId="3" name="PivotTable15"/>
    <pivotTable tabId="3" name="PivotTable16"/>
    <pivotTable tabId="3" name="PivotTable17"/>
  </pivotTables>
  <data>
    <tabular pivotCacheId="753433008">
      <items count="12">
        <i x="0" s="1"/>
        <i x="4" s="1"/>
        <i x="11" s="1"/>
        <i x="8" s="1"/>
        <i x="2" s="1"/>
        <i x="10" s="1"/>
        <i x="7" s="1"/>
        <i x="1" s="1"/>
        <i x="9" s="1"/>
        <i x="5" s="1"/>
        <i x="3"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129B2C-804B-4689-A888-F2A8A0101726}" sourceName="Category">
  <pivotTables>
    <pivotTable tabId="3" name="PivotTable13"/>
    <pivotTable tabId="3" name="PivotTable14"/>
    <pivotTable tabId="3" name="PivotTable15"/>
    <pivotTable tabId="3" name="PivotTable16"/>
    <pivotTable tabId="3" name="PivotTable17"/>
  </pivotTables>
  <data>
    <tabular pivotCacheId="753433008">
      <items count="8">
        <i x="2" s="1"/>
        <i x="6" s="1"/>
        <i x="4" s="1"/>
        <i x="1" s="1"/>
        <i x="5" s="1"/>
        <i x="0" s="1"/>
        <i x="7"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58C5C29-59AC-4EA5-9DCB-1734FAB77397}" sourceName="Year">
  <pivotTables>
    <pivotTable tabId="3" name="PivotTable13"/>
    <pivotTable tabId="3" name="PivotTable14"/>
    <pivotTable tabId="3" name="PivotTable15"/>
    <pivotTable tabId="3" name="PivotTable16"/>
    <pivotTable tabId="3" name="PivotTable17"/>
  </pivotTables>
  <data>
    <tabular pivotCacheId="753433008">
      <items count="15">
        <i x="13" s="1"/>
        <i x="12" s="1"/>
        <i x="11" s="1"/>
        <i x="10" s="1"/>
        <i x="9" s="1"/>
        <i x="8" s="1"/>
        <i x="7" s="1"/>
        <i x="6" s="1"/>
        <i x="5" s="1"/>
        <i x="4" s="1"/>
        <i x="3" s="1"/>
        <i x="2" s="1"/>
        <i x="1" s="1"/>
        <i x="0"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 xr10:uid="{87CE2713-4FDB-409E-AF7B-3BF923D009E5}" cache="Slicer_Company" caption="Company " style="CobaCoba" rowHeight="234950"/>
  <slicer name="Category" xr10:uid="{3ED9568A-139D-47ED-AB9B-17E9F3614868}" cache="Slicer_Category" caption="Category" style="CobaCoba" rowHeight="234950"/>
  <slicer name="Year" xr10:uid="{D93623B9-C8E6-41C6-AB34-42A7DEC74F5F}" cache="Slicer_Year" caption="Year" style="CobaCoba"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012C7-C0A5-4A0F-BE90-F353F6B95970}">
  <dimension ref="A1:Y162"/>
  <sheetViews>
    <sheetView workbookViewId="0">
      <selection activeCell="Y2" sqref="Y2"/>
    </sheetView>
  </sheetViews>
  <sheetFormatPr defaultRowHeight="14.4" x14ac:dyDescent="0.3"/>
  <cols>
    <col min="1" max="1" width="5" bestFit="1" customWidth="1"/>
    <col min="2" max="2" width="9.109375" bestFit="1" customWidth="1"/>
    <col min="3" max="3" width="12.88671875" bestFit="1" customWidth="1"/>
    <col min="4" max="4" width="18.6640625" style="5" bestFit="1" customWidth="1"/>
    <col min="5" max="5" width="10.33203125" style="3" bestFit="1" customWidth="1"/>
    <col min="6" max="7" width="10.5546875" style="4" bestFit="1" customWidth="1"/>
    <col min="8" max="8" width="15.21875" style="5" bestFit="1" customWidth="1"/>
    <col min="9" max="9" width="9" style="4" bestFit="1" customWidth="1"/>
    <col min="10" max="10" width="17" style="4" bestFit="1" customWidth="1"/>
    <col min="11" max="11" width="22.44140625" style="4" bestFit="1" customWidth="1"/>
    <col min="12" max="12" width="21.6640625" style="4" bestFit="1" customWidth="1"/>
    <col min="13" max="13" width="29.5546875" style="4" bestFit="1" customWidth="1"/>
    <col min="14" max="14" width="11.88671875" style="5" bestFit="1" customWidth="1"/>
    <col min="15" max="15" width="15.5546875" style="5" bestFit="1" customWidth="1"/>
    <col min="16" max="16" width="9.6640625" style="6" bestFit="1" customWidth="1"/>
    <col min="17" max="17" width="8.6640625" style="6" bestFit="1" customWidth="1"/>
    <col min="18" max="18" width="7.21875" style="7" bestFit="1" customWidth="1"/>
    <col min="19" max="19" width="15.21875" style="5" bestFit="1" customWidth="1"/>
    <col min="20" max="20" width="21.6640625" style="5" bestFit="1" customWidth="1"/>
    <col min="21" max="21" width="22" style="5" bestFit="1" customWidth="1"/>
    <col min="22" max="22" width="19.21875" style="4" bestFit="1" customWidth="1"/>
    <col min="23" max="23" width="17.5546875" style="5" bestFit="1" customWidth="1"/>
    <col min="24" max="24" width="10.33203125" style="4" bestFit="1" customWidth="1"/>
    <col min="25" max="25" width="15.88671875" style="4" customWidth="1"/>
  </cols>
  <sheetData>
    <row r="1" spans="1:25" x14ac:dyDescent="0.3">
      <c r="A1" t="s">
        <v>0</v>
      </c>
      <c r="B1" t="s">
        <v>1</v>
      </c>
      <c r="C1" t="s">
        <v>2</v>
      </c>
      <c r="D1" t="s">
        <v>3</v>
      </c>
      <c r="E1" s="1" t="s">
        <v>4</v>
      </c>
      <c r="F1" t="s">
        <v>5</v>
      </c>
      <c r="G1" t="s">
        <v>6</v>
      </c>
      <c r="H1" t="s">
        <v>7</v>
      </c>
      <c r="I1" t="s">
        <v>8</v>
      </c>
      <c r="J1" t="s">
        <v>9</v>
      </c>
      <c r="K1" t="s">
        <v>10</v>
      </c>
      <c r="L1" t="s">
        <v>11</v>
      </c>
      <c r="M1" t="s">
        <v>12</v>
      </c>
      <c r="N1" t="s">
        <v>13</v>
      </c>
      <c r="O1" t="s">
        <v>14</v>
      </c>
      <c r="P1" t="s">
        <v>15</v>
      </c>
      <c r="Q1" t="s">
        <v>16</v>
      </c>
      <c r="R1" s="2" t="s">
        <v>17</v>
      </c>
      <c r="S1" t="s">
        <v>18</v>
      </c>
      <c r="T1" t="s">
        <v>19</v>
      </c>
      <c r="U1" t="s">
        <v>20</v>
      </c>
      <c r="V1" t="s">
        <v>21</v>
      </c>
      <c r="W1" t="s">
        <v>22</v>
      </c>
      <c r="Y1">
        <f>SUM(E2:E162)</f>
        <v>12213878.722000003</v>
      </c>
    </row>
    <row r="2" spans="1:25" x14ac:dyDescent="0.3">
      <c r="A2">
        <v>2022</v>
      </c>
      <c r="B2" t="s">
        <v>23</v>
      </c>
      <c r="C2" t="s">
        <v>24</v>
      </c>
      <c r="D2">
        <v>2066.94</v>
      </c>
      <c r="E2" s="1">
        <v>394328</v>
      </c>
      <c r="F2">
        <v>170782</v>
      </c>
      <c r="G2">
        <v>99803</v>
      </c>
      <c r="H2">
        <v>6.11</v>
      </c>
      <c r="I2">
        <v>130541</v>
      </c>
      <c r="J2">
        <v>50672</v>
      </c>
      <c r="K2">
        <v>122151</v>
      </c>
      <c r="L2">
        <v>-22354</v>
      </c>
      <c r="M2">
        <v>-110749</v>
      </c>
      <c r="N2">
        <v>0.87939999999999996</v>
      </c>
      <c r="O2">
        <v>2.3694999999999999</v>
      </c>
      <c r="P2">
        <v>196.9589</v>
      </c>
      <c r="Q2">
        <v>28.292400000000001</v>
      </c>
      <c r="R2" s="2">
        <v>66.699399999999997</v>
      </c>
      <c r="S2">
        <v>25.3096</v>
      </c>
      <c r="T2">
        <v>1.3146</v>
      </c>
      <c r="U2">
        <v>196.9589</v>
      </c>
      <c r="V2">
        <v>164000</v>
      </c>
      <c r="W2">
        <v>8.0028000000000006</v>
      </c>
      <c r="Y2" s="4">
        <v>12213878.721999999</v>
      </c>
    </row>
    <row r="3" spans="1:25" x14ac:dyDescent="0.3">
      <c r="A3">
        <v>2021</v>
      </c>
      <c r="B3" t="s">
        <v>23</v>
      </c>
      <c r="C3" t="s">
        <v>24</v>
      </c>
      <c r="D3">
        <v>2913.28</v>
      </c>
      <c r="E3" s="1">
        <v>365817</v>
      </c>
      <c r="F3">
        <v>152836</v>
      </c>
      <c r="G3">
        <v>94680</v>
      </c>
      <c r="H3">
        <v>5.61</v>
      </c>
      <c r="I3">
        <v>120233</v>
      </c>
      <c r="J3">
        <v>63090</v>
      </c>
      <c r="K3">
        <v>104038</v>
      </c>
      <c r="L3">
        <v>-14545</v>
      </c>
      <c r="M3">
        <v>-93353</v>
      </c>
      <c r="N3">
        <v>1.0746</v>
      </c>
      <c r="O3">
        <v>1.9767999999999999</v>
      </c>
      <c r="P3">
        <v>150.07130000000001</v>
      </c>
      <c r="Q3">
        <v>26.9742</v>
      </c>
      <c r="R3" s="2">
        <v>54.983899999999998</v>
      </c>
      <c r="S3">
        <v>25.881799999999998</v>
      </c>
      <c r="T3">
        <v>1.3261000000000001</v>
      </c>
      <c r="U3">
        <v>150.07130000000001</v>
      </c>
      <c r="V3">
        <v>154000</v>
      </c>
      <c r="W3">
        <v>4.6978999999999997</v>
      </c>
    </row>
    <row r="4" spans="1:25" x14ac:dyDescent="0.3">
      <c r="A4">
        <v>2020</v>
      </c>
      <c r="B4" t="s">
        <v>23</v>
      </c>
      <c r="C4" t="s">
        <v>24</v>
      </c>
      <c r="D4">
        <v>2255.9699999999998</v>
      </c>
      <c r="E4" s="1">
        <v>274515</v>
      </c>
      <c r="F4">
        <v>104956</v>
      </c>
      <c r="G4">
        <v>57411</v>
      </c>
      <c r="H4">
        <v>3.28</v>
      </c>
      <c r="I4">
        <v>77344</v>
      </c>
      <c r="J4">
        <v>65339</v>
      </c>
      <c r="K4">
        <v>80674</v>
      </c>
      <c r="L4">
        <v>-4289</v>
      </c>
      <c r="M4">
        <v>-86820</v>
      </c>
      <c r="N4">
        <v>1.3635999999999999</v>
      </c>
      <c r="O4">
        <v>1.7208000000000001</v>
      </c>
      <c r="P4">
        <v>87.866399999999999</v>
      </c>
      <c r="Q4">
        <v>17.7256</v>
      </c>
      <c r="R4" s="2">
        <v>35.005400000000002</v>
      </c>
      <c r="S4">
        <v>20.913599999999999</v>
      </c>
      <c r="T4">
        <v>1.0183</v>
      </c>
      <c r="U4">
        <v>87.866399999999999</v>
      </c>
      <c r="V4">
        <v>147000</v>
      </c>
      <c r="W4">
        <v>1.2336</v>
      </c>
    </row>
    <row r="5" spans="1:25" x14ac:dyDescent="0.3">
      <c r="A5">
        <v>2019</v>
      </c>
      <c r="B5" t="s">
        <v>23</v>
      </c>
      <c r="C5" t="s">
        <v>24</v>
      </c>
      <c r="D5">
        <v>1304.76</v>
      </c>
      <c r="E5" s="1">
        <v>260174</v>
      </c>
      <c r="F5">
        <v>98392</v>
      </c>
      <c r="G5">
        <v>55256</v>
      </c>
      <c r="H5">
        <v>2.97</v>
      </c>
      <c r="I5">
        <v>76477</v>
      </c>
      <c r="J5">
        <v>90488</v>
      </c>
      <c r="K5">
        <v>69391</v>
      </c>
      <c r="L5">
        <v>45896</v>
      </c>
      <c r="M5">
        <v>-90976</v>
      </c>
      <c r="N5">
        <v>1.5401</v>
      </c>
      <c r="O5">
        <v>1.194</v>
      </c>
      <c r="P5">
        <v>61.064500000000002</v>
      </c>
      <c r="Q5">
        <v>16.323</v>
      </c>
      <c r="R5" s="2">
        <v>30.311299999999999</v>
      </c>
      <c r="S5">
        <v>21.238099999999999</v>
      </c>
      <c r="T5">
        <v>-3.8800000000000001E-2</v>
      </c>
      <c r="U5">
        <v>61.064500000000002</v>
      </c>
      <c r="V5">
        <v>137000</v>
      </c>
      <c r="W5">
        <v>1.8122</v>
      </c>
    </row>
    <row r="6" spans="1:25" x14ac:dyDescent="0.3">
      <c r="A6">
        <v>2018</v>
      </c>
      <c r="B6" t="s">
        <v>23</v>
      </c>
      <c r="C6" t="s">
        <v>24</v>
      </c>
      <c r="D6">
        <v>748.54</v>
      </c>
      <c r="E6" s="1">
        <v>265595</v>
      </c>
      <c r="F6">
        <v>101839</v>
      </c>
      <c r="G6">
        <v>59531</v>
      </c>
      <c r="H6">
        <v>2.98</v>
      </c>
      <c r="I6">
        <v>81801</v>
      </c>
      <c r="J6">
        <v>107147</v>
      </c>
      <c r="K6">
        <v>77434</v>
      </c>
      <c r="L6">
        <v>16066</v>
      </c>
      <c r="M6">
        <v>-87876</v>
      </c>
      <c r="N6">
        <v>1.1329</v>
      </c>
      <c r="O6">
        <v>1.0685</v>
      </c>
      <c r="P6">
        <v>55.560099999999998</v>
      </c>
      <c r="Q6">
        <v>16.2775</v>
      </c>
      <c r="R6" s="2">
        <v>29.634799999999998</v>
      </c>
      <c r="S6">
        <v>22.414200000000001</v>
      </c>
      <c r="T6">
        <v>0.74139999999999995</v>
      </c>
      <c r="U6">
        <v>55.560099999999998</v>
      </c>
      <c r="V6">
        <v>132000</v>
      </c>
      <c r="W6">
        <v>2.4426000000000001</v>
      </c>
    </row>
    <row r="7" spans="1:25" x14ac:dyDescent="0.3">
      <c r="A7">
        <v>2017</v>
      </c>
      <c r="B7" t="s">
        <v>23</v>
      </c>
      <c r="C7" t="s">
        <v>24</v>
      </c>
      <c r="D7">
        <v>868.87</v>
      </c>
      <c r="E7" s="1">
        <v>229234</v>
      </c>
      <c r="F7">
        <v>88186</v>
      </c>
      <c r="G7">
        <v>48351</v>
      </c>
      <c r="H7">
        <v>2.3025000000000002</v>
      </c>
      <c r="I7">
        <v>71501</v>
      </c>
      <c r="J7">
        <v>134047</v>
      </c>
      <c r="K7">
        <v>64225</v>
      </c>
      <c r="L7">
        <v>-46446</v>
      </c>
      <c r="M7">
        <v>-17974</v>
      </c>
      <c r="N7">
        <v>1.2761</v>
      </c>
      <c r="O7">
        <v>0.86299999999999999</v>
      </c>
      <c r="P7">
        <v>36.0702</v>
      </c>
      <c r="Q7">
        <v>12.8826</v>
      </c>
      <c r="R7" s="2">
        <v>20.908200000000001</v>
      </c>
      <c r="S7">
        <v>21.092400000000001</v>
      </c>
      <c r="T7">
        <v>3.3000000000000002E-2</v>
      </c>
      <c r="U7">
        <v>36.0702</v>
      </c>
      <c r="V7">
        <v>123000</v>
      </c>
      <c r="W7">
        <v>2.1301000000000001</v>
      </c>
    </row>
    <row r="8" spans="1:25" x14ac:dyDescent="0.3">
      <c r="A8">
        <v>2016</v>
      </c>
      <c r="B8" t="s">
        <v>23</v>
      </c>
      <c r="C8" t="s">
        <v>24</v>
      </c>
      <c r="D8">
        <v>617.59</v>
      </c>
      <c r="E8" s="1">
        <v>215639</v>
      </c>
      <c r="F8">
        <v>84263</v>
      </c>
      <c r="G8">
        <v>45687</v>
      </c>
      <c r="H8">
        <v>2.0775000000000001</v>
      </c>
      <c r="I8">
        <v>70529</v>
      </c>
      <c r="J8">
        <v>128249</v>
      </c>
      <c r="K8">
        <v>66231</v>
      </c>
      <c r="L8">
        <v>-45977</v>
      </c>
      <c r="M8">
        <v>-20890</v>
      </c>
      <c r="N8">
        <v>1.3527</v>
      </c>
      <c r="O8">
        <v>0.67859999999999998</v>
      </c>
      <c r="P8">
        <v>35.623699999999999</v>
      </c>
      <c r="Q8">
        <v>14.202400000000001</v>
      </c>
      <c r="R8" s="2">
        <v>22.4312</v>
      </c>
      <c r="S8">
        <v>21.186800000000002</v>
      </c>
      <c r="T8">
        <v>-0.59009999999999996</v>
      </c>
      <c r="U8">
        <v>38.190600000000003</v>
      </c>
      <c r="V8">
        <v>116000</v>
      </c>
      <c r="W8">
        <v>1.2616000000000001</v>
      </c>
    </row>
    <row r="9" spans="1:25" x14ac:dyDescent="0.3">
      <c r="A9">
        <v>2015</v>
      </c>
      <c r="B9" t="s">
        <v>23</v>
      </c>
      <c r="C9" t="s">
        <v>24</v>
      </c>
      <c r="D9">
        <v>586.86</v>
      </c>
      <c r="E9" s="1">
        <v>233715</v>
      </c>
      <c r="F9">
        <v>93626</v>
      </c>
      <c r="G9">
        <v>53394</v>
      </c>
      <c r="H9">
        <v>2.3050000000000002</v>
      </c>
      <c r="I9">
        <v>82487</v>
      </c>
      <c r="J9">
        <v>119355</v>
      </c>
      <c r="K9">
        <v>81266</v>
      </c>
      <c r="L9">
        <v>-56274</v>
      </c>
      <c r="M9">
        <v>-17716</v>
      </c>
      <c r="N9">
        <v>1.1088</v>
      </c>
      <c r="O9">
        <v>0.53900000000000003</v>
      </c>
      <c r="P9">
        <v>44.735500000000002</v>
      </c>
      <c r="Q9">
        <v>18.389900000000001</v>
      </c>
      <c r="R9" s="2">
        <v>30.920100000000001</v>
      </c>
      <c r="S9">
        <v>22.845800000000001</v>
      </c>
      <c r="T9">
        <v>0.97430000000000005</v>
      </c>
      <c r="U9">
        <v>48.387799999999999</v>
      </c>
      <c r="V9">
        <v>110000</v>
      </c>
      <c r="W9">
        <v>0.1186</v>
      </c>
    </row>
    <row r="10" spans="1:25" x14ac:dyDescent="0.3">
      <c r="A10">
        <v>2014</v>
      </c>
      <c r="B10" t="s">
        <v>23</v>
      </c>
      <c r="C10" t="s">
        <v>24</v>
      </c>
      <c r="D10">
        <v>647.36</v>
      </c>
      <c r="E10" s="1">
        <v>182795</v>
      </c>
      <c r="F10">
        <v>70537</v>
      </c>
      <c r="G10">
        <v>39510</v>
      </c>
      <c r="H10">
        <v>1.6125</v>
      </c>
      <c r="I10">
        <v>60449</v>
      </c>
      <c r="J10">
        <v>111547</v>
      </c>
      <c r="K10">
        <v>59713</v>
      </c>
      <c r="L10">
        <v>-22579</v>
      </c>
      <c r="M10">
        <v>-37549</v>
      </c>
      <c r="N10">
        <v>1.0801000000000001</v>
      </c>
      <c r="O10">
        <v>0.31640000000000001</v>
      </c>
      <c r="P10">
        <v>35.420099999999998</v>
      </c>
      <c r="Q10">
        <v>17.042000000000002</v>
      </c>
      <c r="R10" s="2">
        <v>28.1142</v>
      </c>
      <c r="S10">
        <v>21.6144</v>
      </c>
      <c r="T10">
        <v>0.30320000000000003</v>
      </c>
      <c r="U10">
        <v>38.438000000000002</v>
      </c>
      <c r="V10">
        <v>97000</v>
      </c>
      <c r="W10">
        <v>1.6222000000000001</v>
      </c>
    </row>
    <row r="11" spans="1:25" x14ac:dyDescent="0.3">
      <c r="A11">
        <v>2013</v>
      </c>
      <c r="B11" t="s">
        <v>23</v>
      </c>
      <c r="C11" t="s">
        <v>24</v>
      </c>
      <c r="D11">
        <v>504.79</v>
      </c>
      <c r="E11" s="1">
        <v>170910</v>
      </c>
      <c r="F11">
        <v>64304</v>
      </c>
      <c r="G11">
        <v>37037</v>
      </c>
      <c r="H11">
        <v>1.42</v>
      </c>
      <c r="I11">
        <v>55756</v>
      </c>
      <c r="J11">
        <v>123549</v>
      </c>
      <c r="K11">
        <v>53666</v>
      </c>
      <c r="L11">
        <v>-33774</v>
      </c>
      <c r="M11">
        <v>-16379</v>
      </c>
      <c r="N11">
        <v>1.6786000000000001</v>
      </c>
      <c r="O11">
        <v>0.13730000000000001</v>
      </c>
      <c r="P11">
        <v>29.977599999999999</v>
      </c>
      <c r="Q11">
        <v>17.892299999999999</v>
      </c>
      <c r="R11" s="2">
        <v>26.359200000000001</v>
      </c>
      <c r="S11">
        <v>21.670500000000001</v>
      </c>
      <c r="T11">
        <v>0.1363</v>
      </c>
      <c r="U11">
        <v>31.442499999999999</v>
      </c>
      <c r="V11">
        <v>84400</v>
      </c>
      <c r="W11">
        <v>1.4648000000000001</v>
      </c>
    </row>
    <row r="12" spans="1:25" x14ac:dyDescent="0.3">
      <c r="A12">
        <v>2012</v>
      </c>
      <c r="B12" t="s">
        <v>23</v>
      </c>
      <c r="C12" t="s">
        <v>24</v>
      </c>
      <c r="D12">
        <v>500.61</v>
      </c>
      <c r="E12" s="1">
        <v>156508</v>
      </c>
      <c r="F12">
        <v>68662</v>
      </c>
      <c r="G12">
        <v>41733</v>
      </c>
      <c r="H12">
        <v>1.5774999999999999</v>
      </c>
      <c r="I12">
        <v>58518</v>
      </c>
      <c r="J12">
        <v>118210</v>
      </c>
      <c r="K12">
        <v>50856</v>
      </c>
      <c r="L12">
        <v>-48227</v>
      </c>
      <c r="M12">
        <v>-1698</v>
      </c>
      <c r="N12">
        <v>1.4958</v>
      </c>
      <c r="O12">
        <v>0</v>
      </c>
      <c r="P12">
        <v>35.304099999999998</v>
      </c>
      <c r="Q12">
        <v>23.703299999999999</v>
      </c>
      <c r="R12" s="2">
        <v>35.304099999999998</v>
      </c>
      <c r="S12">
        <v>26.665099999999999</v>
      </c>
      <c r="T12">
        <v>0.33939999999999998</v>
      </c>
      <c r="U12">
        <v>36.980600000000003</v>
      </c>
      <c r="V12">
        <v>76100</v>
      </c>
      <c r="W12">
        <v>2.0693000000000001</v>
      </c>
    </row>
    <row r="13" spans="1:25" x14ac:dyDescent="0.3">
      <c r="A13">
        <v>2011</v>
      </c>
      <c r="B13" t="s">
        <v>23</v>
      </c>
      <c r="C13" t="s">
        <v>24</v>
      </c>
      <c r="D13">
        <v>376.4</v>
      </c>
      <c r="E13" s="1">
        <v>108249</v>
      </c>
      <c r="F13">
        <v>43818</v>
      </c>
      <c r="G13">
        <v>25922</v>
      </c>
      <c r="H13">
        <v>0.98860000000000003</v>
      </c>
      <c r="I13">
        <v>35604</v>
      </c>
      <c r="J13">
        <v>76615</v>
      </c>
      <c r="K13">
        <v>37529</v>
      </c>
      <c r="L13">
        <v>-40419</v>
      </c>
      <c r="M13">
        <v>1444</v>
      </c>
      <c r="N13">
        <v>1.6084000000000001</v>
      </c>
      <c r="O13">
        <v>0</v>
      </c>
      <c r="P13">
        <v>33.834099999999999</v>
      </c>
      <c r="Q13">
        <v>22.275300000000001</v>
      </c>
      <c r="R13" s="2">
        <v>33.834099999999999</v>
      </c>
      <c r="S13">
        <v>23.9466</v>
      </c>
      <c r="T13">
        <v>0.62780000000000002</v>
      </c>
      <c r="U13">
        <v>35.911499999999997</v>
      </c>
      <c r="V13">
        <v>63300</v>
      </c>
      <c r="W13">
        <v>3.1568000000000001</v>
      </c>
    </row>
    <row r="14" spans="1:25" x14ac:dyDescent="0.3">
      <c r="A14">
        <v>2010</v>
      </c>
      <c r="B14" t="s">
        <v>23</v>
      </c>
      <c r="C14" t="s">
        <v>24</v>
      </c>
      <c r="D14">
        <v>296.89</v>
      </c>
      <c r="E14" s="1">
        <v>65225</v>
      </c>
      <c r="F14">
        <v>25684</v>
      </c>
      <c r="G14">
        <v>14013</v>
      </c>
      <c r="H14">
        <v>0.54110000000000003</v>
      </c>
      <c r="I14">
        <v>19412</v>
      </c>
      <c r="J14">
        <v>47791</v>
      </c>
      <c r="K14">
        <v>18595</v>
      </c>
      <c r="L14">
        <v>-13854</v>
      </c>
      <c r="M14">
        <v>1257</v>
      </c>
      <c r="N14">
        <v>2.0112999999999999</v>
      </c>
      <c r="O14">
        <v>0</v>
      </c>
      <c r="P14">
        <v>29.321400000000001</v>
      </c>
      <c r="Q14">
        <v>18.638500000000001</v>
      </c>
      <c r="R14" s="2">
        <v>29.321400000000001</v>
      </c>
      <c r="S14">
        <v>21.484100000000002</v>
      </c>
      <c r="T14">
        <v>0.28570000000000001</v>
      </c>
      <c r="U14">
        <v>30.001300000000001</v>
      </c>
      <c r="V14">
        <v>49400</v>
      </c>
      <c r="W14">
        <v>1.64</v>
      </c>
    </row>
    <row r="15" spans="1:25" x14ac:dyDescent="0.3">
      <c r="A15">
        <v>2009</v>
      </c>
      <c r="B15" t="s">
        <v>23</v>
      </c>
      <c r="C15" t="s">
        <v>24</v>
      </c>
      <c r="D15">
        <v>189.8</v>
      </c>
      <c r="E15" s="1">
        <v>42905</v>
      </c>
      <c r="F15">
        <v>17222</v>
      </c>
      <c r="G15">
        <v>8235</v>
      </c>
      <c r="H15">
        <v>0.32429999999999998</v>
      </c>
      <c r="I15">
        <v>12474</v>
      </c>
      <c r="J15">
        <v>31640</v>
      </c>
      <c r="K15">
        <v>10159</v>
      </c>
      <c r="L15">
        <v>-17434</v>
      </c>
      <c r="M15">
        <v>663</v>
      </c>
      <c r="N15">
        <v>2.7425000000000002</v>
      </c>
      <c r="O15">
        <v>0</v>
      </c>
      <c r="P15">
        <v>26.027200000000001</v>
      </c>
      <c r="Q15">
        <v>17.336500000000001</v>
      </c>
      <c r="R15" s="2">
        <v>26.027200000000001</v>
      </c>
      <c r="S15">
        <v>19.1936</v>
      </c>
      <c r="T15">
        <v>0.35499999999999998</v>
      </c>
      <c r="U15">
        <v>26.405200000000001</v>
      </c>
      <c r="V15">
        <v>36800</v>
      </c>
      <c r="W15">
        <v>-0.35549999999999998</v>
      </c>
    </row>
    <row r="16" spans="1:25" x14ac:dyDescent="0.3">
      <c r="A16">
        <v>2023</v>
      </c>
      <c r="B16" t="s">
        <v>25</v>
      </c>
      <c r="C16" t="s">
        <v>24</v>
      </c>
      <c r="D16">
        <v>2451.23</v>
      </c>
      <c r="E16" s="1">
        <v>211915</v>
      </c>
      <c r="F16">
        <v>146052</v>
      </c>
      <c r="G16">
        <v>72361</v>
      </c>
      <c r="H16">
        <v>9.68</v>
      </c>
      <c r="I16">
        <v>102384</v>
      </c>
      <c r="J16">
        <v>206223</v>
      </c>
      <c r="K16">
        <v>87582</v>
      </c>
      <c r="L16">
        <v>-22680</v>
      </c>
      <c r="M16">
        <v>-43935</v>
      </c>
      <c r="N16">
        <v>1.7692000000000001</v>
      </c>
      <c r="O16">
        <v>0.2291</v>
      </c>
      <c r="P16">
        <v>35.088700000000003</v>
      </c>
      <c r="Q16">
        <v>17.564399999999999</v>
      </c>
      <c r="R16" s="2">
        <v>29.152799999999999</v>
      </c>
      <c r="S16">
        <v>34.1462</v>
      </c>
      <c r="T16">
        <v>-0.68079999999999996</v>
      </c>
      <c r="U16">
        <v>56.106400000000001</v>
      </c>
      <c r="V16">
        <v>221000</v>
      </c>
      <c r="W16">
        <v>3.7</v>
      </c>
    </row>
    <row r="17" spans="1:23" x14ac:dyDescent="0.3">
      <c r="A17">
        <v>2022</v>
      </c>
      <c r="B17" t="s">
        <v>25</v>
      </c>
      <c r="C17" t="s">
        <v>24</v>
      </c>
      <c r="D17">
        <v>1787.73</v>
      </c>
      <c r="E17" s="1">
        <v>198270</v>
      </c>
      <c r="F17">
        <v>135620</v>
      </c>
      <c r="G17">
        <v>72738</v>
      </c>
      <c r="H17">
        <v>9.65</v>
      </c>
      <c r="I17">
        <v>97843</v>
      </c>
      <c r="J17">
        <v>166542</v>
      </c>
      <c r="K17">
        <v>89035</v>
      </c>
      <c r="L17">
        <v>-30311</v>
      </c>
      <c r="M17">
        <v>-58876</v>
      </c>
      <c r="N17">
        <v>1.7846</v>
      </c>
      <c r="O17">
        <v>0.2989</v>
      </c>
      <c r="P17">
        <v>43.6755</v>
      </c>
      <c r="Q17">
        <v>19.937000000000001</v>
      </c>
      <c r="R17" s="2">
        <v>34.057499999999997</v>
      </c>
      <c r="S17">
        <v>36.686300000000003</v>
      </c>
      <c r="T17">
        <v>1.2643</v>
      </c>
      <c r="U17">
        <v>82.920699999999997</v>
      </c>
      <c r="V17">
        <v>221000</v>
      </c>
      <c r="W17">
        <v>8.0028000000000006</v>
      </c>
    </row>
    <row r="18" spans="1:23" x14ac:dyDescent="0.3">
      <c r="A18">
        <v>2021</v>
      </c>
      <c r="B18" t="s">
        <v>25</v>
      </c>
      <c r="C18" t="s">
        <v>24</v>
      </c>
      <c r="D18">
        <v>2525.08</v>
      </c>
      <c r="E18" s="1">
        <v>168088</v>
      </c>
      <c r="F18">
        <v>115856</v>
      </c>
      <c r="G18">
        <v>61271</v>
      </c>
      <c r="H18">
        <v>8.0500000000000007</v>
      </c>
      <c r="I18">
        <v>81602</v>
      </c>
      <c r="J18">
        <v>141988</v>
      </c>
      <c r="K18">
        <v>76740</v>
      </c>
      <c r="L18">
        <v>-27577</v>
      </c>
      <c r="M18">
        <v>-48486</v>
      </c>
      <c r="N18">
        <v>2.08</v>
      </c>
      <c r="O18">
        <v>0.40949999999999998</v>
      </c>
      <c r="P18">
        <v>43.152200000000001</v>
      </c>
      <c r="Q18">
        <v>18.3568</v>
      </c>
      <c r="R18" s="2">
        <v>31.901700000000002</v>
      </c>
      <c r="S18">
        <v>36.451700000000002</v>
      </c>
      <c r="T18">
        <v>1.4886999999999999</v>
      </c>
      <c r="U18">
        <v>72.529799999999994</v>
      </c>
      <c r="V18">
        <v>181000</v>
      </c>
      <c r="W18">
        <v>4.6978999999999997</v>
      </c>
    </row>
    <row r="19" spans="1:23" x14ac:dyDescent="0.3">
      <c r="A19">
        <v>2020</v>
      </c>
      <c r="B19" t="s">
        <v>25</v>
      </c>
      <c r="C19" t="s">
        <v>24</v>
      </c>
      <c r="D19">
        <v>1681.61</v>
      </c>
      <c r="E19" s="1">
        <v>143015</v>
      </c>
      <c r="F19">
        <v>96937</v>
      </c>
      <c r="G19">
        <v>44281</v>
      </c>
      <c r="H19">
        <v>5.76</v>
      </c>
      <c r="I19">
        <v>65755</v>
      </c>
      <c r="J19">
        <v>118304</v>
      </c>
      <c r="K19">
        <v>60675</v>
      </c>
      <c r="L19">
        <v>-12223</v>
      </c>
      <c r="M19">
        <v>-46031</v>
      </c>
      <c r="N19">
        <v>2.5158</v>
      </c>
      <c r="O19">
        <v>0.5353</v>
      </c>
      <c r="P19">
        <v>37.4298</v>
      </c>
      <c r="Q19">
        <v>14.696099999999999</v>
      </c>
      <c r="R19" s="2">
        <v>24.8935</v>
      </c>
      <c r="S19">
        <v>30.962499999999999</v>
      </c>
      <c r="T19">
        <v>0.9526</v>
      </c>
      <c r="U19">
        <v>65.200599999999994</v>
      </c>
      <c r="V19">
        <v>163000</v>
      </c>
      <c r="W19">
        <v>1.2336</v>
      </c>
    </row>
    <row r="20" spans="1:23" x14ac:dyDescent="0.3">
      <c r="A20">
        <v>2019</v>
      </c>
      <c r="B20" t="s">
        <v>25</v>
      </c>
      <c r="C20" t="s">
        <v>24</v>
      </c>
      <c r="D20">
        <v>1203.06</v>
      </c>
      <c r="E20" s="1">
        <v>125843</v>
      </c>
      <c r="F20">
        <v>82933</v>
      </c>
      <c r="G20">
        <v>39240</v>
      </c>
      <c r="H20">
        <v>5.0599999999999996</v>
      </c>
      <c r="I20">
        <v>54641</v>
      </c>
      <c r="J20">
        <v>102330</v>
      </c>
      <c r="K20">
        <v>52185</v>
      </c>
      <c r="L20">
        <v>-15773</v>
      </c>
      <c r="M20">
        <v>-36887</v>
      </c>
      <c r="N20">
        <v>2.5287999999999999</v>
      </c>
      <c r="O20">
        <v>0.70530000000000004</v>
      </c>
      <c r="P20">
        <v>38.346499999999999</v>
      </c>
      <c r="Q20">
        <v>13.6937</v>
      </c>
      <c r="R20" s="2">
        <v>23.22</v>
      </c>
      <c r="S20">
        <v>31.181699999999999</v>
      </c>
      <c r="T20">
        <v>0.79679999999999995</v>
      </c>
      <c r="U20">
        <v>74.6661</v>
      </c>
      <c r="V20">
        <v>144000</v>
      </c>
      <c r="W20">
        <v>1.8122</v>
      </c>
    </row>
    <row r="21" spans="1:23" x14ac:dyDescent="0.3">
      <c r="A21">
        <v>2018</v>
      </c>
      <c r="B21" t="s">
        <v>25</v>
      </c>
      <c r="C21" t="s">
        <v>24</v>
      </c>
      <c r="D21">
        <v>779.67</v>
      </c>
      <c r="E21" s="1">
        <v>110360</v>
      </c>
      <c r="F21">
        <v>72007</v>
      </c>
      <c r="G21">
        <v>16571</v>
      </c>
      <c r="H21">
        <v>2.13</v>
      </c>
      <c r="I21">
        <v>45319</v>
      </c>
      <c r="J21">
        <v>82718</v>
      </c>
      <c r="K21">
        <v>43884</v>
      </c>
      <c r="L21">
        <v>-6061</v>
      </c>
      <c r="M21">
        <v>-33590</v>
      </c>
      <c r="N21">
        <v>2.9007999999999998</v>
      </c>
      <c r="O21">
        <v>0.92169999999999996</v>
      </c>
      <c r="P21">
        <v>20.033100000000001</v>
      </c>
      <c r="Q21">
        <v>6.4017999999999997</v>
      </c>
      <c r="R21" s="2">
        <v>10.6937</v>
      </c>
      <c r="S21">
        <v>15.0154</v>
      </c>
      <c r="T21">
        <v>0.13170000000000001</v>
      </c>
      <c r="U21">
        <v>42.509399999999999</v>
      </c>
      <c r="V21">
        <v>131000</v>
      </c>
      <c r="W21">
        <v>2.4426000000000001</v>
      </c>
    </row>
    <row r="22" spans="1:23" x14ac:dyDescent="0.3">
      <c r="A22">
        <v>2017</v>
      </c>
      <c r="B22" t="s">
        <v>25</v>
      </c>
      <c r="C22" t="s">
        <v>24</v>
      </c>
      <c r="D22">
        <v>659.91</v>
      </c>
      <c r="E22" s="1">
        <v>96571</v>
      </c>
      <c r="F22">
        <v>62310</v>
      </c>
      <c r="G22">
        <v>25489</v>
      </c>
      <c r="H22">
        <v>3.25</v>
      </c>
      <c r="I22">
        <v>37803</v>
      </c>
      <c r="J22">
        <v>87711</v>
      </c>
      <c r="K22">
        <v>39507</v>
      </c>
      <c r="L22">
        <v>-46781</v>
      </c>
      <c r="M22">
        <v>8408</v>
      </c>
      <c r="N22">
        <v>2.9186000000000001</v>
      </c>
      <c r="O22">
        <v>0.98270000000000002</v>
      </c>
      <c r="P22">
        <v>29.060199999999998</v>
      </c>
      <c r="Q22">
        <v>10.1829</v>
      </c>
      <c r="R22" s="2">
        <v>15.5626</v>
      </c>
      <c r="S22">
        <v>26.394100000000002</v>
      </c>
      <c r="T22">
        <v>0.88870000000000005</v>
      </c>
      <c r="U22">
        <v>59.998100000000001</v>
      </c>
      <c r="V22">
        <v>124000</v>
      </c>
      <c r="W22">
        <v>2.1301000000000001</v>
      </c>
    </row>
    <row r="23" spans="1:23" x14ac:dyDescent="0.3">
      <c r="A23">
        <v>2016</v>
      </c>
      <c r="B23" t="s">
        <v>25</v>
      </c>
      <c r="C23" t="s">
        <v>24</v>
      </c>
      <c r="D23">
        <v>483.16</v>
      </c>
      <c r="E23" s="1">
        <v>91154</v>
      </c>
      <c r="F23">
        <v>58374</v>
      </c>
      <c r="G23">
        <v>20539</v>
      </c>
      <c r="H23">
        <v>2.56</v>
      </c>
      <c r="I23">
        <v>33330</v>
      </c>
      <c r="J23">
        <v>71997</v>
      </c>
      <c r="K23">
        <v>33325</v>
      </c>
      <c r="L23">
        <v>-23950</v>
      </c>
      <c r="M23">
        <v>-8393</v>
      </c>
      <c r="N23">
        <v>2.3529</v>
      </c>
      <c r="O23">
        <v>0.74250000000000005</v>
      </c>
      <c r="P23">
        <v>28.5276</v>
      </c>
      <c r="Q23">
        <v>10.616199999999999</v>
      </c>
      <c r="R23" s="2">
        <v>18.248100000000001</v>
      </c>
      <c r="S23">
        <v>22.5322</v>
      </c>
      <c r="T23">
        <v>0.24349999999999999</v>
      </c>
      <c r="U23">
        <v>40.758499999999998</v>
      </c>
      <c r="V23">
        <v>114000</v>
      </c>
      <c r="W23">
        <v>1.2616000000000001</v>
      </c>
    </row>
    <row r="24" spans="1:23" x14ac:dyDescent="0.3">
      <c r="A24">
        <v>2015</v>
      </c>
      <c r="B24" t="s">
        <v>25</v>
      </c>
      <c r="C24" t="s">
        <v>24</v>
      </c>
      <c r="D24">
        <v>443.17</v>
      </c>
      <c r="E24" s="1">
        <v>93580</v>
      </c>
      <c r="F24">
        <v>60542</v>
      </c>
      <c r="G24">
        <v>12193</v>
      </c>
      <c r="H24">
        <v>1.48</v>
      </c>
      <c r="I24">
        <v>31616</v>
      </c>
      <c r="J24">
        <v>80083</v>
      </c>
      <c r="K24">
        <v>29668</v>
      </c>
      <c r="L24">
        <v>-23001</v>
      </c>
      <c r="M24">
        <v>-9668</v>
      </c>
      <c r="N24">
        <v>2.4733999999999998</v>
      </c>
      <c r="O24">
        <v>0.44069999999999998</v>
      </c>
      <c r="P24">
        <v>15.2255</v>
      </c>
      <c r="Q24">
        <v>6.9885000000000002</v>
      </c>
      <c r="R24" s="2">
        <v>11.3012</v>
      </c>
      <c r="S24">
        <v>13.029500000000001</v>
      </c>
      <c r="T24">
        <v>-0.34250000000000003</v>
      </c>
      <c r="U24">
        <v>20.911000000000001</v>
      </c>
      <c r="V24">
        <v>118000</v>
      </c>
      <c r="W24">
        <v>0.1186</v>
      </c>
    </row>
    <row r="25" spans="1:23" x14ac:dyDescent="0.3">
      <c r="A25">
        <v>2014</v>
      </c>
      <c r="B25" t="s">
        <v>25</v>
      </c>
      <c r="C25" t="s">
        <v>24</v>
      </c>
      <c r="D25">
        <v>382.88</v>
      </c>
      <c r="E25" s="1">
        <v>86833</v>
      </c>
      <c r="F25">
        <v>59755</v>
      </c>
      <c r="G25">
        <v>22074</v>
      </c>
      <c r="H25">
        <v>2.63</v>
      </c>
      <c r="I25">
        <v>32971</v>
      </c>
      <c r="J25">
        <v>89784</v>
      </c>
      <c r="K25">
        <v>32502</v>
      </c>
      <c r="L25">
        <v>-18833</v>
      </c>
      <c r="M25">
        <v>-8665</v>
      </c>
      <c r="N25">
        <v>2.504</v>
      </c>
      <c r="O25">
        <v>0.25219999999999998</v>
      </c>
      <c r="P25">
        <v>24.585699999999999</v>
      </c>
      <c r="Q25">
        <v>12.805099999999999</v>
      </c>
      <c r="R25" s="2">
        <v>19.9893</v>
      </c>
      <c r="S25">
        <v>25.421199999999999</v>
      </c>
      <c r="T25">
        <v>0.31519999999999998</v>
      </c>
      <c r="U25">
        <v>35.219200000000001</v>
      </c>
      <c r="V25">
        <v>128000</v>
      </c>
      <c r="W25">
        <v>1.6222000000000001</v>
      </c>
    </row>
    <row r="26" spans="1:23" x14ac:dyDescent="0.3">
      <c r="A26">
        <v>2013</v>
      </c>
      <c r="B26" t="s">
        <v>25</v>
      </c>
      <c r="C26" t="s">
        <v>24</v>
      </c>
      <c r="D26">
        <v>312.3</v>
      </c>
      <c r="E26" s="1">
        <v>77849</v>
      </c>
      <c r="F26">
        <v>57464</v>
      </c>
      <c r="G26">
        <v>21863</v>
      </c>
      <c r="H26">
        <v>2.58</v>
      </c>
      <c r="I26">
        <v>30519</v>
      </c>
      <c r="J26">
        <v>78944</v>
      </c>
      <c r="K26">
        <v>28833</v>
      </c>
      <c r="L26">
        <v>-23811</v>
      </c>
      <c r="M26">
        <v>-8148</v>
      </c>
      <c r="N26">
        <v>2.7118000000000002</v>
      </c>
      <c r="O26">
        <v>0.1976</v>
      </c>
      <c r="P26">
        <v>27.694299999999998</v>
      </c>
      <c r="Q26">
        <v>15.3499</v>
      </c>
      <c r="R26" s="2">
        <v>23.882200000000001</v>
      </c>
      <c r="S26">
        <v>28.0839</v>
      </c>
      <c r="T26">
        <v>-0.54559999999999997</v>
      </c>
      <c r="U26">
        <v>35.720399999999998</v>
      </c>
      <c r="V26">
        <v>118000</v>
      </c>
      <c r="W26">
        <v>1.4648000000000001</v>
      </c>
    </row>
    <row r="27" spans="1:23" x14ac:dyDescent="0.3">
      <c r="A27">
        <v>2012</v>
      </c>
      <c r="B27" t="s">
        <v>25</v>
      </c>
      <c r="C27" t="s">
        <v>24</v>
      </c>
      <c r="D27">
        <v>224.8</v>
      </c>
      <c r="E27" s="1">
        <v>73723</v>
      </c>
      <c r="F27">
        <v>56193</v>
      </c>
      <c r="G27">
        <v>16978</v>
      </c>
      <c r="H27">
        <v>2</v>
      </c>
      <c r="I27">
        <v>30923</v>
      </c>
      <c r="J27">
        <v>66363</v>
      </c>
      <c r="K27">
        <v>31626</v>
      </c>
      <c r="L27">
        <v>-24786</v>
      </c>
      <c r="M27">
        <v>-9408</v>
      </c>
      <c r="N27">
        <v>2.6029</v>
      </c>
      <c r="O27">
        <v>0.18</v>
      </c>
      <c r="P27">
        <v>25.583500000000001</v>
      </c>
      <c r="Q27">
        <v>14.0001</v>
      </c>
      <c r="R27" s="2">
        <v>22.0276</v>
      </c>
      <c r="S27">
        <v>23.029499999999999</v>
      </c>
      <c r="T27">
        <v>0.57979999999999998</v>
      </c>
      <c r="U27">
        <v>34.132800000000003</v>
      </c>
      <c r="V27">
        <v>128000</v>
      </c>
      <c r="W27">
        <v>2.0693000000000001</v>
      </c>
    </row>
    <row r="28" spans="1:23" x14ac:dyDescent="0.3">
      <c r="A28">
        <v>2011</v>
      </c>
      <c r="B28" t="s">
        <v>25</v>
      </c>
      <c r="C28" t="s">
        <v>24</v>
      </c>
      <c r="D28">
        <v>218.38</v>
      </c>
      <c r="E28" s="1">
        <v>69943</v>
      </c>
      <c r="F28">
        <v>54366</v>
      </c>
      <c r="G28">
        <v>23150</v>
      </c>
      <c r="H28">
        <v>2.69</v>
      </c>
      <c r="I28">
        <v>29927</v>
      </c>
      <c r="J28">
        <v>57083</v>
      </c>
      <c r="K28">
        <v>26994</v>
      </c>
      <c r="L28">
        <v>-14616</v>
      </c>
      <c r="M28">
        <v>-8376</v>
      </c>
      <c r="N28">
        <v>2.6036999999999999</v>
      </c>
      <c r="O28">
        <v>0.20880000000000001</v>
      </c>
      <c r="P28">
        <v>40.555</v>
      </c>
      <c r="Q28">
        <v>21.296399999999998</v>
      </c>
      <c r="R28" s="2">
        <v>33.5488</v>
      </c>
      <c r="S28">
        <v>33.098399999999998</v>
      </c>
      <c r="T28">
        <v>0.3921</v>
      </c>
      <c r="U28">
        <v>52.904600000000002</v>
      </c>
      <c r="V28">
        <v>99000</v>
      </c>
      <c r="W28">
        <v>3.1568000000000001</v>
      </c>
    </row>
    <row r="29" spans="1:23" x14ac:dyDescent="0.3">
      <c r="A29">
        <v>2010</v>
      </c>
      <c r="B29" t="s">
        <v>25</v>
      </c>
      <c r="C29" t="s">
        <v>24</v>
      </c>
      <c r="D29">
        <v>238.78</v>
      </c>
      <c r="E29" s="1">
        <v>62484</v>
      </c>
      <c r="F29">
        <v>50089</v>
      </c>
      <c r="G29">
        <v>18760</v>
      </c>
      <c r="H29">
        <v>2.1</v>
      </c>
      <c r="I29">
        <v>26771</v>
      </c>
      <c r="J29">
        <v>46175</v>
      </c>
      <c r="K29">
        <v>24073</v>
      </c>
      <c r="L29">
        <v>-11314</v>
      </c>
      <c r="M29">
        <v>-13291</v>
      </c>
      <c r="N29">
        <v>2.1293000000000002</v>
      </c>
      <c r="O29">
        <v>0.12859999999999999</v>
      </c>
      <c r="P29">
        <v>40.628</v>
      </c>
      <c r="Q29">
        <v>21.785299999999999</v>
      </c>
      <c r="R29" s="2">
        <v>36.702300000000001</v>
      </c>
      <c r="S29">
        <v>30.023700000000002</v>
      </c>
      <c r="T29">
        <v>0.70569999999999999</v>
      </c>
      <c r="U29">
        <v>57.505400000000002</v>
      </c>
      <c r="V29">
        <v>94000</v>
      </c>
      <c r="W29">
        <v>1.64</v>
      </c>
    </row>
    <row r="30" spans="1:23" x14ac:dyDescent="0.3">
      <c r="A30">
        <v>2009</v>
      </c>
      <c r="B30" t="s">
        <v>25</v>
      </c>
      <c r="C30" t="s">
        <v>24</v>
      </c>
      <c r="D30">
        <v>270.64</v>
      </c>
      <c r="E30" s="1">
        <v>58437</v>
      </c>
      <c r="F30">
        <v>46282</v>
      </c>
      <c r="G30">
        <v>14569</v>
      </c>
      <c r="H30">
        <v>1.62</v>
      </c>
      <c r="I30">
        <v>22925</v>
      </c>
      <c r="J30">
        <v>39558</v>
      </c>
      <c r="K30">
        <v>19037</v>
      </c>
      <c r="L30">
        <v>-15770</v>
      </c>
      <c r="M30">
        <v>-7463</v>
      </c>
      <c r="N30">
        <v>1.8229</v>
      </c>
      <c r="O30">
        <v>0.14530000000000001</v>
      </c>
      <c r="P30">
        <v>36.829500000000003</v>
      </c>
      <c r="Q30">
        <v>18.705100000000002</v>
      </c>
      <c r="R30" s="2">
        <v>33.643500000000003</v>
      </c>
      <c r="S30">
        <v>24.931100000000001</v>
      </c>
      <c r="T30">
        <v>1.7695000000000001</v>
      </c>
      <c r="U30">
        <v>57.594099999999997</v>
      </c>
      <c r="V30">
        <v>90000</v>
      </c>
      <c r="W30">
        <v>-0.35549999999999998</v>
      </c>
    </row>
    <row r="31" spans="1:23" x14ac:dyDescent="0.3">
      <c r="A31">
        <v>2022</v>
      </c>
      <c r="B31" t="s">
        <v>26</v>
      </c>
      <c r="C31" t="s">
        <v>24</v>
      </c>
      <c r="D31">
        <v>1144.3499999999999</v>
      </c>
      <c r="E31" s="1">
        <v>282836</v>
      </c>
      <c r="F31">
        <v>156633</v>
      </c>
      <c r="G31">
        <v>59972</v>
      </c>
      <c r="H31">
        <v>4.5599999999999996</v>
      </c>
      <c r="I31">
        <v>90770</v>
      </c>
      <c r="J31">
        <v>256144</v>
      </c>
      <c r="K31">
        <v>91495</v>
      </c>
      <c r="L31">
        <v>-20298</v>
      </c>
      <c r="M31">
        <v>-69757</v>
      </c>
      <c r="N31">
        <v>2.3780000000000001</v>
      </c>
      <c r="O31">
        <v>5.74E-2</v>
      </c>
      <c r="P31">
        <v>23.413399999999999</v>
      </c>
      <c r="Q31">
        <v>16.418800000000001</v>
      </c>
      <c r="R31" s="2">
        <v>22.142600000000002</v>
      </c>
      <c r="S31">
        <v>21.203800000000001</v>
      </c>
      <c r="T31">
        <v>-0.36130000000000001</v>
      </c>
      <c r="U31">
        <v>26.642399999999999</v>
      </c>
      <c r="V31">
        <v>190234</v>
      </c>
      <c r="W31">
        <v>8.0028000000000006</v>
      </c>
    </row>
    <row r="32" spans="1:23" x14ac:dyDescent="0.3">
      <c r="A32">
        <v>2021</v>
      </c>
      <c r="B32" t="s">
        <v>26</v>
      </c>
      <c r="C32" t="s">
        <v>24</v>
      </c>
      <c r="D32">
        <v>1910.26</v>
      </c>
      <c r="E32" s="1">
        <v>257637</v>
      </c>
      <c r="F32">
        <v>146698</v>
      </c>
      <c r="G32">
        <v>76033</v>
      </c>
      <c r="H32">
        <v>5.61</v>
      </c>
      <c r="I32">
        <v>91155</v>
      </c>
      <c r="J32">
        <v>251635</v>
      </c>
      <c r="K32">
        <v>91652</v>
      </c>
      <c r="L32">
        <v>-35523</v>
      </c>
      <c r="M32">
        <v>-61362</v>
      </c>
      <c r="N32">
        <v>2.9281000000000001</v>
      </c>
      <c r="O32">
        <v>5.8900000000000001E-2</v>
      </c>
      <c r="P32">
        <v>30.215599999999998</v>
      </c>
      <c r="Q32">
        <v>21.1633</v>
      </c>
      <c r="R32" s="2">
        <v>28.535399999999999</v>
      </c>
      <c r="S32">
        <v>29.511700000000001</v>
      </c>
      <c r="T32">
        <v>1.7122999999999999</v>
      </c>
      <c r="U32">
        <v>33.456099999999999</v>
      </c>
      <c r="V32">
        <v>156500</v>
      </c>
      <c r="W32">
        <v>4.6978999999999997</v>
      </c>
    </row>
    <row r="33" spans="1:23" x14ac:dyDescent="0.3">
      <c r="A33">
        <v>2020</v>
      </c>
      <c r="B33" t="s">
        <v>26</v>
      </c>
      <c r="C33" t="s">
        <v>24</v>
      </c>
      <c r="D33">
        <v>1179.4000000000001</v>
      </c>
      <c r="E33" s="1">
        <v>182527</v>
      </c>
      <c r="F33">
        <v>97795</v>
      </c>
      <c r="G33">
        <v>40269</v>
      </c>
      <c r="H33">
        <v>2.93</v>
      </c>
      <c r="I33">
        <v>54921</v>
      </c>
      <c r="J33">
        <v>222544</v>
      </c>
      <c r="K33">
        <v>65124</v>
      </c>
      <c r="L33">
        <v>-32773</v>
      </c>
      <c r="M33">
        <v>-24408</v>
      </c>
      <c r="N33">
        <v>3.0668000000000002</v>
      </c>
      <c r="O33">
        <v>6.2600000000000003E-2</v>
      </c>
      <c r="P33">
        <v>18.094899999999999</v>
      </c>
      <c r="Q33">
        <v>12.5992</v>
      </c>
      <c r="R33" s="2">
        <v>17.0288</v>
      </c>
      <c r="S33">
        <v>22.061900000000001</v>
      </c>
      <c r="T33">
        <v>0.84299999999999997</v>
      </c>
      <c r="U33">
        <v>20.142199999999999</v>
      </c>
      <c r="V33">
        <v>135301</v>
      </c>
      <c r="W33">
        <v>1.2336</v>
      </c>
    </row>
    <row r="34" spans="1:23" x14ac:dyDescent="0.3">
      <c r="A34">
        <v>2019</v>
      </c>
      <c r="B34" t="s">
        <v>26</v>
      </c>
      <c r="C34" t="s">
        <v>24</v>
      </c>
      <c r="D34">
        <v>917.82</v>
      </c>
      <c r="E34" s="1">
        <v>161857</v>
      </c>
      <c r="F34">
        <v>89961</v>
      </c>
      <c r="G34">
        <v>34343</v>
      </c>
      <c r="H34">
        <v>2.4580000000000002</v>
      </c>
      <c r="I34">
        <v>46012</v>
      </c>
      <c r="J34">
        <v>201442</v>
      </c>
      <c r="K34">
        <v>54520</v>
      </c>
      <c r="L34">
        <v>-29491</v>
      </c>
      <c r="M34">
        <v>-23209</v>
      </c>
      <c r="N34">
        <v>3.3740999999999999</v>
      </c>
      <c r="O34">
        <v>2.2599999999999999E-2</v>
      </c>
      <c r="P34">
        <v>17.0486</v>
      </c>
      <c r="Q34">
        <v>12.4472</v>
      </c>
      <c r="R34" s="2">
        <v>16.671700000000001</v>
      </c>
      <c r="S34">
        <v>21.2181</v>
      </c>
      <c r="T34">
        <v>0.55659999999999998</v>
      </c>
      <c r="U34">
        <v>19.203299999999999</v>
      </c>
      <c r="V34">
        <v>118899</v>
      </c>
      <c r="W34">
        <v>1.8122</v>
      </c>
    </row>
    <row r="35" spans="1:23" x14ac:dyDescent="0.3">
      <c r="A35">
        <v>2018</v>
      </c>
      <c r="B35" t="s">
        <v>26</v>
      </c>
      <c r="C35" t="s">
        <v>24</v>
      </c>
      <c r="D35">
        <v>719.63</v>
      </c>
      <c r="E35" s="1">
        <v>136819</v>
      </c>
      <c r="F35">
        <v>77270</v>
      </c>
      <c r="G35">
        <v>30736</v>
      </c>
      <c r="H35">
        <v>2.1850000000000001</v>
      </c>
      <c r="I35">
        <v>36559</v>
      </c>
      <c r="J35">
        <v>177628</v>
      </c>
      <c r="K35">
        <v>47971</v>
      </c>
      <c r="L35">
        <v>-28504</v>
      </c>
      <c r="M35">
        <v>-13179</v>
      </c>
      <c r="N35">
        <v>3.919</v>
      </c>
      <c r="O35">
        <v>2.2599999999999999E-2</v>
      </c>
      <c r="P35">
        <v>17.303599999999999</v>
      </c>
      <c r="Q35">
        <v>13.203200000000001</v>
      </c>
      <c r="R35" s="2">
        <v>16.921399999999998</v>
      </c>
      <c r="S35">
        <v>22.464700000000001</v>
      </c>
      <c r="T35">
        <v>-7.0499999999999993E-2</v>
      </c>
      <c r="U35">
        <v>19.5124</v>
      </c>
      <c r="V35">
        <v>98771</v>
      </c>
      <c r="W35">
        <v>2.4426000000000001</v>
      </c>
    </row>
    <row r="36" spans="1:23" x14ac:dyDescent="0.3">
      <c r="A36">
        <v>2017</v>
      </c>
      <c r="B36" t="s">
        <v>26</v>
      </c>
      <c r="C36" t="s">
        <v>24</v>
      </c>
      <c r="D36">
        <v>726.47</v>
      </c>
      <c r="E36" s="1">
        <v>110855</v>
      </c>
      <c r="F36">
        <v>65272</v>
      </c>
      <c r="G36">
        <v>12662</v>
      </c>
      <c r="H36">
        <v>0.9</v>
      </c>
      <c r="I36">
        <v>33093</v>
      </c>
      <c r="J36">
        <v>152502</v>
      </c>
      <c r="K36">
        <v>37091</v>
      </c>
      <c r="L36">
        <v>-31401</v>
      </c>
      <c r="M36">
        <v>-8298</v>
      </c>
      <c r="N36">
        <v>5.1402999999999999</v>
      </c>
      <c r="O36">
        <v>2.5999999999999999E-2</v>
      </c>
      <c r="P36">
        <v>8.3027999999999995</v>
      </c>
      <c r="Q36">
        <v>6.4177999999999997</v>
      </c>
      <c r="R36" s="2">
        <v>8.0922000000000001</v>
      </c>
      <c r="S36">
        <v>11.4221</v>
      </c>
      <c r="T36">
        <v>-0.151</v>
      </c>
      <c r="U36">
        <v>9.5158000000000005</v>
      </c>
      <c r="V36">
        <v>80110</v>
      </c>
      <c r="W36">
        <v>2.1301000000000001</v>
      </c>
    </row>
    <row r="37" spans="1:23" x14ac:dyDescent="0.3">
      <c r="A37">
        <v>2016</v>
      </c>
      <c r="B37" t="s">
        <v>26</v>
      </c>
      <c r="C37" t="s">
        <v>24</v>
      </c>
      <c r="D37">
        <v>530.84</v>
      </c>
      <c r="E37" s="1">
        <v>90272</v>
      </c>
      <c r="F37">
        <v>55134</v>
      </c>
      <c r="G37">
        <v>19478</v>
      </c>
      <c r="H37">
        <v>1.3925000000000001</v>
      </c>
      <c r="I37">
        <v>29860</v>
      </c>
      <c r="J37">
        <v>139036</v>
      </c>
      <c r="K37">
        <v>36036</v>
      </c>
      <c r="L37">
        <v>-31165</v>
      </c>
      <c r="M37">
        <v>-8332</v>
      </c>
      <c r="N37">
        <v>6.2907999999999999</v>
      </c>
      <c r="O37">
        <v>2.8299999999999999E-2</v>
      </c>
      <c r="P37">
        <v>14.0093</v>
      </c>
      <c r="Q37">
        <v>11.6289</v>
      </c>
      <c r="R37" s="2">
        <v>13.623699999999999</v>
      </c>
      <c r="S37">
        <v>21.577000000000002</v>
      </c>
      <c r="T37">
        <v>0.62490000000000001</v>
      </c>
      <c r="U37">
        <v>16.3323</v>
      </c>
      <c r="V37">
        <v>72053</v>
      </c>
      <c r="W37">
        <v>1.2616000000000001</v>
      </c>
    </row>
    <row r="38" spans="1:23" x14ac:dyDescent="0.3">
      <c r="A38">
        <v>2015</v>
      </c>
      <c r="B38" t="s">
        <v>26</v>
      </c>
      <c r="C38" t="s">
        <v>24</v>
      </c>
      <c r="D38">
        <v>521.66999999999996</v>
      </c>
      <c r="E38" s="1">
        <v>74989</v>
      </c>
      <c r="F38">
        <v>46825</v>
      </c>
      <c r="G38">
        <v>15826</v>
      </c>
      <c r="H38">
        <v>1.1419999999999999</v>
      </c>
      <c r="I38">
        <v>24423</v>
      </c>
      <c r="J38">
        <v>120331</v>
      </c>
      <c r="K38">
        <v>26572</v>
      </c>
      <c r="L38">
        <v>-23711</v>
      </c>
      <c r="M38">
        <v>-4225</v>
      </c>
      <c r="N38">
        <v>4.6666999999999996</v>
      </c>
      <c r="O38">
        <v>4.3400000000000001E-2</v>
      </c>
      <c r="P38">
        <v>13.585900000000001</v>
      </c>
      <c r="Q38">
        <v>11.0863</v>
      </c>
      <c r="R38" s="2">
        <v>13.3643</v>
      </c>
      <c r="S38">
        <v>21.104399999999998</v>
      </c>
      <c r="T38">
        <v>0.3054</v>
      </c>
      <c r="U38">
        <v>16.248100000000001</v>
      </c>
      <c r="V38">
        <v>61814</v>
      </c>
      <c r="W38">
        <v>0.1186</v>
      </c>
    </row>
    <row r="39" spans="1:23" x14ac:dyDescent="0.3">
      <c r="A39">
        <v>2014</v>
      </c>
      <c r="B39" t="s">
        <v>26</v>
      </c>
      <c r="C39" t="s">
        <v>24</v>
      </c>
      <c r="D39">
        <v>354.75</v>
      </c>
      <c r="E39" s="1">
        <v>66001</v>
      </c>
      <c r="F39">
        <v>40310</v>
      </c>
      <c r="G39">
        <v>14136</v>
      </c>
      <c r="H39">
        <v>1.0285</v>
      </c>
      <c r="I39">
        <v>21475</v>
      </c>
      <c r="J39">
        <v>103860</v>
      </c>
      <c r="K39">
        <v>23024</v>
      </c>
      <c r="L39">
        <v>-21055</v>
      </c>
      <c r="M39">
        <v>-2087</v>
      </c>
      <c r="N39">
        <v>4.6878000000000002</v>
      </c>
      <c r="O39">
        <v>5.04E-2</v>
      </c>
      <c r="P39">
        <v>13.113799999999999</v>
      </c>
      <c r="Q39">
        <v>10.542899999999999</v>
      </c>
      <c r="R39" s="2">
        <v>12.718500000000001</v>
      </c>
      <c r="S39">
        <v>21.417899999999999</v>
      </c>
      <c r="T39">
        <v>4.6300000000000001E-2</v>
      </c>
      <c r="U39">
        <v>16.281400000000001</v>
      </c>
      <c r="V39">
        <v>53600</v>
      </c>
      <c r="W39">
        <v>1.6222000000000001</v>
      </c>
    </row>
    <row r="40" spans="1:23" x14ac:dyDescent="0.3">
      <c r="A40">
        <v>2013</v>
      </c>
      <c r="B40" t="s">
        <v>26</v>
      </c>
      <c r="C40" t="s">
        <v>24</v>
      </c>
      <c r="D40">
        <v>371.53</v>
      </c>
      <c r="E40" s="1">
        <v>55519</v>
      </c>
      <c r="F40">
        <v>33526</v>
      </c>
      <c r="G40">
        <v>12733</v>
      </c>
      <c r="H40">
        <v>0.9395</v>
      </c>
      <c r="I40">
        <v>19342</v>
      </c>
      <c r="J40">
        <v>87309</v>
      </c>
      <c r="K40">
        <v>18659</v>
      </c>
      <c r="L40">
        <v>-13679</v>
      </c>
      <c r="M40">
        <v>-857</v>
      </c>
      <c r="N40">
        <v>4.5816999999999997</v>
      </c>
      <c r="O40">
        <v>6.0100000000000001E-2</v>
      </c>
      <c r="P40">
        <v>15.072900000000001</v>
      </c>
      <c r="Q40">
        <v>11.8644</v>
      </c>
      <c r="R40" s="2">
        <v>14.6965</v>
      </c>
      <c r="S40">
        <v>22.9345</v>
      </c>
      <c r="T40">
        <v>-0.23730000000000001</v>
      </c>
      <c r="U40">
        <v>18.867100000000001</v>
      </c>
      <c r="V40">
        <v>47756</v>
      </c>
      <c r="W40">
        <v>1.4648000000000001</v>
      </c>
    </row>
    <row r="41" spans="1:23" x14ac:dyDescent="0.3">
      <c r="A41">
        <v>2012</v>
      </c>
      <c r="B41" t="s">
        <v>26</v>
      </c>
      <c r="C41" t="s">
        <v>24</v>
      </c>
      <c r="D41">
        <v>230.54</v>
      </c>
      <c r="E41" s="1">
        <v>46039</v>
      </c>
      <c r="F41">
        <v>28863</v>
      </c>
      <c r="G41">
        <v>10737</v>
      </c>
      <c r="H41">
        <v>0.80800000000000005</v>
      </c>
      <c r="I41">
        <v>16796</v>
      </c>
      <c r="J41">
        <v>71715</v>
      </c>
      <c r="K41">
        <v>16619</v>
      </c>
      <c r="L41">
        <v>-13056</v>
      </c>
      <c r="M41">
        <v>1229</v>
      </c>
      <c r="N41">
        <v>4.2165999999999997</v>
      </c>
      <c r="O41">
        <v>7.7200000000000005E-2</v>
      </c>
      <c r="P41">
        <v>16.1096</v>
      </c>
      <c r="Q41">
        <v>12.3169</v>
      </c>
      <c r="R41" s="2">
        <v>15.465199999999999</v>
      </c>
      <c r="S41">
        <v>23.3215</v>
      </c>
      <c r="T41">
        <v>0.15390000000000001</v>
      </c>
      <c r="U41">
        <v>21.512</v>
      </c>
      <c r="V41">
        <v>53861</v>
      </c>
      <c r="W41">
        <v>2.0693000000000001</v>
      </c>
    </row>
    <row r="42" spans="1:23" x14ac:dyDescent="0.3">
      <c r="A42">
        <v>2011</v>
      </c>
      <c r="B42" t="s">
        <v>26</v>
      </c>
      <c r="C42" t="s">
        <v>24</v>
      </c>
      <c r="D42">
        <v>207.65</v>
      </c>
      <c r="E42" s="1">
        <v>37905</v>
      </c>
      <c r="F42">
        <v>24717</v>
      </c>
      <c r="G42">
        <v>9737</v>
      </c>
      <c r="H42">
        <v>0.74399999999999999</v>
      </c>
      <c r="I42">
        <v>13593</v>
      </c>
      <c r="J42">
        <v>58145</v>
      </c>
      <c r="K42">
        <v>14565</v>
      </c>
      <c r="L42">
        <v>-19041</v>
      </c>
      <c r="M42">
        <v>807</v>
      </c>
      <c r="N42">
        <v>5.9192</v>
      </c>
      <c r="O42">
        <v>7.2300000000000003E-2</v>
      </c>
      <c r="P42">
        <v>16.746099999999998</v>
      </c>
      <c r="Q42">
        <v>13.416700000000001</v>
      </c>
      <c r="R42" s="2">
        <v>15.928100000000001</v>
      </c>
      <c r="S42">
        <v>25.687899999999999</v>
      </c>
      <c r="T42">
        <v>0.3039</v>
      </c>
      <c r="U42">
        <v>19.7822</v>
      </c>
      <c r="V42">
        <v>32467</v>
      </c>
      <c r="W42">
        <v>3.1568000000000001</v>
      </c>
    </row>
    <row r="43" spans="1:23" x14ac:dyDescent="0.3">
      <c r="A43">
        <v>2010</v>
      </c>
      <c r="B43" t="s">
        <v>26</v>
      </c>
      <c r="C43" t="s">
        <v>24</v>
      </c>
      <c r="D43">
        <v>188.54</v>
      </c>
      <c r="E43" s="1">
        <v>29321</v>
      </c>
      <c r="F43">
        <v>18904</v>
      </c>
      <c r="G43">
        <v>8505</v>
      </c>
      <c r="H43">
        <v>0.65780000000000005</v>
      </c>
      <c r="I43">
        <v>11777</v>
      </c>
      <c r="J43">
        <v>46241</v>
      </c>
      <c r="K43">
        <v>11081</v>
      </c>
      <c r="L43">
        <v>-10680</v>
      </c>
      <c r="M43">
        <v>3050</v>
      </c>
      <c r="N43">
        <v>4.1578999999999997</v>
      </c>
      <c r="O43">
        <v>7.4899999999999994E-2</v>
      </c>
      <c r="P43">
        <v>18.392800000000001</v>
      </c>
      <c r="Q43">
        <v>14.701599999999999</v>
      </c>
      <c r="R43" s="2">
        <v>18.392800000000001</v>
      </c>
      <c r="S43">
        <v>29.006499999999999</v>
      </c>
      <c r="T43">
        <v>-0.1195</v>
      </c>
      <c r="U43">
        <v>21.840699999999998</v>
      </c>
      <c r="V43">
        <v>24400</v>
      </c>
      <c r="W43">
        <v>1.64</v>
      </c>
    </row>
    <row r="44" spans="1:23" x14ac:dyDescent="0.3">
      <c r="A44">
        <v>2009</v>
      </c>
      <c r="B44" t="s">
        <v>26</v>
      </c>
      <c r="C44" t="s">
        <v>24</v>
      </c>
      <c r="D44">
        <v>195.27</v>
      </c>
      <c r="E44" s="1">
        <v>23651</v>
      </c>
      <c r="F44">
        <v>14807</v>
      </c>
      <c r="G44">
        <v>6520</v>
      </c>
      <c r="H44">
        <v>0.51029999999999998</v>
      </c>
      <c r="I44">
        <v>9836</v>
      </c>
      <c r="J44">
        <v>36004</v>
      </c>
      <c r="K44">
        <v>9316</v>
      </c>
      <c r="L44">
        <v>-8019</v>
      </c>
      <c r="M44">
        <v>233</v>
      </c>
      <c r="N44">
        <v>10.617800000000001</v>
      </c>
      <c r="O44">
        <v>0</v>
      </c>
      <c r="P44">
        <v>18.109100000000002</v>
      </c>
      <c r="Q44">
        <v>16.100000000000001</v>
      </c>
      <c r="R44" s="2">
        <v>18.109100000000002</v>
      </c>
      <c r="S44">
        <v>27.567499999999999</v>
      </c>
      <c r="T44">
        <v>0.66569999999999996</v>
      </c>
      <c r="U44">
        <v>21.499700000000001</v>
      </c>
      <c r="V44">
        <v>19835</v>
      </c>
      <c r="W44">
        <v>-0.35549999999999998</v>
      </c>
    </row>
    <row r="45" spans="1:23" x14ac:dyDescent="0.3">
      <c r="A45">
        <v>2022</v>
      </c>
      <c r="B45" t="s">
        <v>27</v>
      </c>
      <c r="C45" t="s">
        <v>28</v>
      </c>
      <c r="D45">
        <v>81.19</v>
      </c>
      <c r="E45" s="1">
        <v>27518</v>
      </c>
      <c r="F45">
        <v>11653</v>
      </c>
      <c r="G45">
        <v>2419</v>
      </c>
      <c r="H45">
        <v>2.09</v>
      </c>
      <c r="I45">
        <v>5154</v>
      </c>
      <c r="J45">
        <v>20274</v>
      </c>
      <c r="K45">
        <v>5813</v>
      </c>
      <c r="L45">
        <v>-3421</v>
      </c>
      <c r="M45">
        <v>-1110</v>
      </c>
      <c r="N45">
        <v>1.2753000000000001</v>
      </c>
      <c r="O45">
        <v>0.51380000000000003</v>
      </c>
      <c r="P45">
        <v>11.9315</v>
      </c>
      <c r="Q45">
        <v>3.073</v>
      </c>
      <c r="R45" s="2">
        <v>7.8818000000000001</v>
      </c>
      <c r="S45">
        <v>8.7905999999999995</v>
      </c>
      <c r="T45">
        <v>0.28799999999999998</v>
      </c>
      <c r="U45">
        <v>29.2256</v>
      </c>
      <c r="V45">
        <v>29900</v>
      </c>
      <c r="W45">
        <v>8.0028000000000006</v>
      </c>
    </row>
    <row r="46" spans="1:23" x14ac:dyDescent="0.3">
      <c r="A46">
        <v>2021</v>
      </c>
      <c r="B46" t="s">
        <v>27</v>
      </c>
      <c r="C46" t="s">
        <v>28</v>
      </c>
      <c r="D46">
        <v>221.57</v>
      </c>
      <c r="E46" s="1">
        <v>25371</v>
      </c>
      <c r="F46">
        <v>11921</v>
      </c>
      <c r="G46">
        <v>4169</v>
      </c>
      <c r="H46">
        <v>3.52</v>
      </c>
      <c r="I46">
        <v>5527</v>
      </c>
      <c r="J46">
        <v>21727</v>
      </c>
      <c r="K46">
        <v>5797</v>
      </c>
      <c r="L46">
        <v>-5149</v>
      </c>
      <c r="M46">
        <v>-557</v>
      </c>
      <c r="N46">
        <v>1.2218</v>
      </c>
      <c r="O46">
        <v>0.3705</v>
      </c>
      <c r="P46">
        <v>19.188099999999999</v>
      </c>
      <c r="Q46">
        <v>5.4997999999999996</v>
      </c>
      <c r="R46" s="2">
        <v>14.001200000000001</v>
      </c>
      <c r="S46">
        <v>16.432200000000002</v>
      </c>
      <c r="T46">
        <v>-0.48430000000000001</v>
      </c>
      <c r="U46">
        <v>46.627899999999997</v>
      </c>
      <c r="V46">
        <v>30900</v>
      </c>
      <c r="W46">
        <v>4.6978999999999997</v>
      </c>
    </row>
    <row r="47" spans="1:23" x14ac:dyDescent="0.3">
      <c r="A47">
        <v>2020</v>
      </c>
      <c r="B47" t="s">
        <v>27</v>
      </c>
      <c r="C47" t="s">
        <v>28</v>
      </c>
      <c r="D47">
        <v>274.41000000000003</v>
      </c>
      <c r="E47" s="1">
        <v>21454</v>
      </c>
      <c r="F47">
        <v>10001</v>
      </c>
      <c r="G47">
        <v>4202</v>
      </c>
      <c r="H47">
        <v>3.54</v>
      </c>
      <c r="I47">
        <v>4478</v>
      </c>
      <c r="J47">
        <v>20063</v>
      </c>
      <c r="K47">
        <v>6219</v>
      </c>
      <c r="L47">
        <v>-16545</v>
      </c>
      <c r="M47">
        <v>12454</v>
      </c>
      <c r="N47">
        <v>1.3264</v>
      </c>
      <c r="O47">
        <v>0.44550000000000001</v>
      </c>
      <c r="P47">
        <v>20.943999999999999</v>
      </c>
      <c r="Q47">
        <v>5.9705000000000004</v>
      </c>
      <c r="R47" s="2">
        <v>14.4887</v>
      </c>
      <c r="S47">
        <v>19.586099999999998</v>
      </c>
      <c r="T47">
        <v>1.7623</v>
      </c>
      <c r="U47">
        <v>42.5304</v>
      </c>
      <c r="V47">
        <v>26500</v>
      </c>
      <c r="W47">
        <v>1.2336</v>
      </c>
    </row>
    <row r="48" spans="1:23" x14ac:dyDescent="0.3">
      <c r="A48">
        <v>2019</v>
      </c>
      <c r="B48" t="s">
        <v>27</v>
      </c>
      <c r="C48" t="s">
        <v>28</v>
      </c>
      <c r="D48">
        <v>127.01</v>
      </c>
      <c r="E48" s="1">
        <v>17772</v>
      </c>
      <c r="F48">
        <v>7987</v>
      </c>
      <c r="G48">
        <v>2459</v>
      </c>
      <c r="H48">
        <v>2.0699999999999998</v>
      </c>
      <c r="I48">
        <v>3631</v>
      </c>
      <c r="J48">
        <v>16929</v>
      </c>
      <c r="K48">
        <v>4071</v>
      </c>
      <c r="L48">
        <v>-5742</v>
      </c>
      <c r="M48">
        <v>4187</v>
      </c>
      <c r="N48">
        <v>1.43</v>
      </c>
      <c r="O48">
        <v>0.29330000000000001</v>
      </c>
      <c r="P48">
        <v>14.525399999999999</v>
      </c>
      <c r="Q48">
        <v>4.7903000000000002</v>
      </c>
      <c r="R48" s="2">
        <v>11.231400000000001</v>
      </c>
      <c r="S48">
        <v>13.836399999999999</v>
      </c>
      <c r="T48">
        <v>-1.0250999999999999</v>
      </c>
      <c r="U48">
        <v>24.7409</v>
      </c>
      <c r="V48">
        <v>23200</v>
      </c>
      <c r="W48">
        <v>1.8122</v>
      </c>
    </row>
    <row r="49" spans="1:23" x14ac:dyDescent="0.3">
      <c r="A49">
        <v>2018</v>
      </c>
      <c r="B49" t="s">
        <v>27</v>
      </c>
      <c r="C49" t="s">
        <v>28</v>
      </c>
      <c r="D49">
        <v>99.09</v>
      </c>
      <c r="E49" s="1">
        <v>15451</v>
      </c>
      <c r="F49">
        <v>7189</v>
      </c>
      <c r="G49">
        <v>2057</v>
      </c>
      <c r="H49">
        <v>1.71</v>
      </c>
      <c r="I49">
        <v>2970</v>
      </c>
      <c r="J49">
        <v>15386</v>
      </c>
      <c r="K49">
        <v>5480</v>
      </c>
      <c r="L49">
        <v>821</v>
      </c>
      <c r="M49">
        <v>-1240</v>
      </c>
      <c r="N49">
        <v>1.2725</v>
      </c>
      <c r="O49">
        <v>0.12989999999999999</v>
      </c>
      <c r="P49">
        <v>13.369300000000001</v>
      </c>
      <c r="Q49">
        <v>4.7470999999999997</v>
      </c>
      <c r="R49" s="2">
        <v>13.369300000000001</v>
      </c>
      <c r="S49">
        <v>13.3131</v>
      </c>
      <c r="T49">
        <v>2.347</v>
      </c>
      <c r="U49">
        <v>24.852</v>
      </c>
      <c r="V49">
        <v>21800</v>
      </c>
      <c r="W49">
        <v>2.4426000000000001</v>
      </c>
    </row>
    <row r="50" spans="1:23" x14ac:dyDescent="0.3">
      <c r="A50">
        <v>2017</v>
      </c>
      <c r="B50" t="s">
        <v>27</v>
      </c>
      <c r="C50" t="s">
        <v>28</v>
      </c>
      <c r="D50">
        <v>88.48</v>
      </c>
      <c r="E50" s="1">
        <v>13094</v>
      </c>
      <c r="F50">
        <v>6399</v>
      </c>
      <c r="G50">
        <v>1795</v>
      </c>
      <c r="H50">
        <v>1.47</v>
      </c>
      <c r="I50">
        <v>2932</v>
      </c>
      <c r="J50">
        <v>15994</v>
      </c>
      <c r="K50">
        <v>2531</v>
      </c>
      <c r="L50">
        <v>-4485</v>
      </c>
      <c r="M50">
        <v>4084</v>
      </c>
      <c r="N50">
        <v>1.4278999999999999</v>
      </c>
      <c r="O50">
        <v>6.25E-2</v>
      </c>
      <c r="P50">
        <v>11.223000000000001</v>
      </c>
      <c r="Q50">
        <v>4.4023000000000003</v>
      </c>
      <c r="R50" s="2">
        <v>11.223000000000001</v>
      </c>
      <c r="S50">
        <v>13.708600000000001</v>
      </c>
      <c r="T50">
        <v>-0.51690000000000003</v>
      </c>
      <c r="U50">
        <v>15.6264</v>
      </c>
      <c r="V50">
        <v>18700</v>
      </c>
      <c r="W50">
        <v>2.1301000000000001</v>
      </c>
    </row>
    <row r="51" spans="1:23" x14ac:dyDescent="0.3">
      <c r="A51">
        <v>2016</v>
      </c>
      <c r="B51" t="s">
        <v>27</v>
      </c>
      <c r="C51" t="s">
        <v>28</v>
      </c>
      <c r="D51">
        <v>47.63</v>
      </c>
      <c r="E51" s="1">
        <v>10842</v>
      </c>
      <c r="F51">
        <v>5141</v>
      </c>
      <c r="G51">
        <v>1401</v>
      </c>
      <c r="H51">
        <v>1.1499999999999999</v>
      </c>
      <c r="I51">
        <v>2310</v>
      </c>
      <c r="J51">
        <v>14712</v>
      </c>
      <c r="K51">
        <v>3158</v>
      </c>
      <c r="L51">
        <v>-5904</v>
      </c>
      <c r="M51">
        <v>2038</v>
      </c>
      <c r="N51">
        <v>1.5246</v>
      </c>
      <c r="O51">
        <v>0</v>
      </c>
      <c r="P51">
        <v>9.5228000000000002</v>
      </c>
      <c r="Q51">
        <v>4.2321999999999997</v>
      </c>
      <c r="R51" s="2">
        <v>9.5228000000000002</v>
      </c>
      <c r="S51">
        <v>12.922000000000001</v>
      </c>
      <c r="T51">
        <v>0.53820000000000001</v>
      </c>
      <c r="U51">
        <v>13.417</v>
      </c>
      <c r="V51">
        <v>18100</v>
      </c>
      <c r="W51">
        <v>1.2616000000000001</v>
      </c>
    </row>
    <row r="52" spans="1:23" x14ac:dyDescent="0.3">
      <c r="A52">
        <v>2015</v>
      </c>
      <c r="B52" t="s">
        <v>27</v>
      </c>
      <c r="C52" t="s">
        <v>28</v>
      </c>
      <c r="D52">
        <v>44.23</v>
      </c>
      <c r="E52" s="1">
        <v>9248</v>
      </c>
      <c r="F52">
        <v>4719</v>
      </c>
      <c r="G52">
        <v>1228</v>
      </c>
      <c r="H52">
        <v>1</v>
      </c>
      <c r="I52">
        <v>2069</v>
      </c>
      <c r="J52">
        <v>13759</v>
      </c>
      <c r="K52">
        <v>2546</v>
      </c>
      <c r="L52">
        <v>-8038</v>
      </c>
      <c r="M52">
        <v>4728</v>
      </c>
      <c r="N52">
        <v>1.5163</v>
      </c>
      <c r="O52">
        <v>0</v>
      </c>
      <c r="P52">
        <v>8.9251000000000005</v>
      </c>
      <c r="Q52">
        <v>4.2519</v>
      </c>
      <c r="R52" s="2">
        <v>8.9251000000000005</v>
      </c>
      <c r="S52">
        <v>13.278600000000001</v>
      </c>
      <c r="T52">
        <v>9.35E-2</v>
      </c>
      <c r="U52">
        <v>13.159000000000001</v>
      </c>
      <c r="V52">
        <v>16800</v>
      </c>
      <c r="W52">
        <v>0.1186</v>
      </c>
    </row>
    <row r="53" spans="1:23" x14ac:dyDescent="0.3">
      <c r="A53">
        <v>2014</v>
      </c>
      <c r="B53" t="s">
        <v>27</v>
      </c>
      <c r="C53" t="s">
        <v>28</v>
      </c>
      <c r="D53"/>
      <c r="E53" s="1">
        <v>8025</v>
      </c>
      <c r="F53">
        <v>4218</v>
      </c>
      <c r="G53">
        <v>419</v>
      </c>
      <c r="H53">
        <v>0.34</v>
      </c>
      <c r="I53">
        <v>1784</v>
      </c>
      <c r="J53">
        <v>8248</v>
      </c>
      <c r="K53">
        <v>2220</v>
      </c>
      <c r="L53">
        <v>-2881</v>
      </c>
      <c r="M53">
        <v>1284</v>
      </c>
      <c r="N53">
        <v>1.3224</v>
      </c>
      <c r="O53">
        <v>0.13250000000000001</v>
      </c>
      <c r="P53">
        <v>5.08</v>
      </c>
      <c r="Q53">
        <v>1.9117999999999999</v>
      </c>
      <c r="R53" s="2">
        <v>5.08</v>
      </c>
      <c r="S53">
        <v>5.2211999999999996</v>
      </c>
      <c r="T53">
        <v>0.10299999999999999</v>
      </c>
      <c r="U53">
        <v>8.5457999999999998</v>
      </c>
      <c r="V53">
        <v>15800</v>
      </c>
      <c r="W53">
        <v>1.6222000000000001</v>
      </c>
    </row>
    <row r="54" spans="1:23" x14ac:dyDescent="0.3">
      <c r="A54">
        <v>2022</v>
      </c>
      <c r="B54" t="s">
        <v>29</v>
      </c>
      <c r="C54" t="s">
        <v>30</v>
      </c>
      <c r="D54">
        <v>46.99</v>
      </c>
      <c r="E54" s="1">
        <v>56437</v>
      </c>
      <c r="F54">
        <v>20762</v>
      </c>
      <c r="G54">
        <v>10247</v>
      </c>
      <c r="H54">
        <v>13.01</v>
      </c>
      <c r="I54">
        <v>20640</v>
      </c>
      <c r="J54">
        <v>42235</v>
      </c>
      <c r="K54">
        <v>4207</v>
      </c>
      <c r="L54">
        <v>-3626</v>
      </c>
      <c r="M54">
        <v>-676</v>
      </c>
      <c r="N54">
        <v>1</v>
      </c>
      <c r="O54">
        <v>0.64349999999999996</v>
      </c>
      <c r="P54">
        <v>27.008400000000002</v>
      </c>
      <c r="Q54">
        <v>2.1410999999999998</v>
      </c>
      <c r="R54" s="2">
        <v>16.244599999999998</v>
      </c>
      <c r="S54">
        <v>18.156500000000001</v>
      </c>
      <c r="T54">
        <v>-1.9207000000000001</v>
      </c>
      <c r="U54">
        <v>26.6982</v>
      </c>
      <c r="V54">
        <v>26200</v>
      </c>
      <c r="W54">
        <v>8.0028000000000006</v>
      </c>
    </row>
    <row r="55" spans="1:23" x14ac:dyDescent="0.3">
      <c r="A55">
        <v>2021</v>
      </c>
      <c r="B55" t="s">
        <v>29</v>
      </c>
      <c r="C55" t="s">
        <v>30</v>
      </c>
      <c r="D55">
        <v>47.21</v>
      </c>
      <c r="E55" s="1">
        <v>52057</v>
      </c>
      <c r="F55">
        <v>15322</v>
      </c>
      <c r="G55">
        <v>9359</v>
      </c>
      <c r="H55">
        <v>10.82</v>
      </c>
      <c r="I55">
        <v>15382</v>
      </c>
      <c r="J55">
        <v>68912</v>
      </c>
      <c r="K55">
        <v>6279</v>
      </c>
      <c r="L55">
        <v>-3280</v>
      </c>
      <c r="M55">
        <v>-3735</v>
      </c>
      <c r="N55">
        <v>1</v>
      </c>
      <c r="O55">
        <v>0.43769999999999998</v>
      </c>
      <c r="P55">
        <v>14.5016</v>
      </c>
      <c r="Q55">
        <v>1.6646000000000001</v>
      </c>
      <c r="R55" s="2">
        <v>10.015700000000001</v>
      </c>
      <c r="S55">
        <v>17.978400000000001</v>
      </c>
      <c r="T55">
        <v>6.0658000000000003</v>
      </c>
      <c r="U55">
        <v>14.3995</v>
      </c>
      <c r="V55">
        <v>36600</v>
      </c>
      <c r="W55">
        <v>4.6978999999999997</v>
      </c>
    </row>
    <row r="56" spans="1:23" x14ac:dyDescent="0.3">
      <c r="A56">
        <v>2020</v>
      </c>
      <c r="B56" t="s">
        <v>29</v>
      </c>
      <c r="C56" t="s">
        <v>30</v>
      </c>
      <c r="D56">
        <v>32.619999999999997</v>
      </c>
      <c r="E56" s="1">
        <v>43736</v>
      </c>
      <c r="F56">
        <v>6912</v>
      </c>
      <c r="G56">
        <v>-5973</v>
      </c>
      <c r="H56">
        <v>-6.88</v>
      </c>
      <c r="I56">
        <v>6821</v>
      </c>
      <c r="J56">
        <v>67199</v>
      </c>
      <c r="K56">
        <v>1038</v>
      </c>
      <c r="L56">
        <v>-6202</v>
      </c>
      <c r="M56">
        <v>5058</v>
      </c>
      <c r="N56">
        <v>1</v>
      </c>
      <c r="O56">
        <v>0.55859999999999999</v>
      </c>
      <c r="P56">
        <v>-8.7432999999999996</v>
      </c>
      <c r="Q56">
        <v>-0.99460000000000004</v>
      </c>
      <c r="R56" s="2">
        <v>-5.5693999999999999</v>
      </c>
      <c r="S56">
        <v>-13.6569</v>
      </c>
      <c r="T56">
        <v>3.2256</v>
      </c>
      <c r="U56">
        <v>-8.6801999999999992</v>
      </c>
      <c r="V56">
        <v>45000</v>
      </c>
      <c r="W56">
        <v>1.2336</v>
      </c>
    </row>
    <row r="57" spans="1:23" x14ac:dyDescent="0.3">
      <c r="A57">
        <v>2019</v>
      </c>
      <c r="B57" t="s">
        <v>29</v>
      </c>
      <c r="C57" t="s">
        <v>30</v>
      </c>
      <c r="D57">
        <v>44.65</v>
      </c>
      <c r="E57" s="1">
        <v>49746</v>
      </c>
      <c r="F57">
        <v>11975</v>
      </c>
      <c r="G57">
        <v>3326</v>
      </c>
      <c r="H57">
        <v>3.74</v>
      </c>
      <c r="I57">
        <v>11817</v>
      </c>
      <c r="J57">
        <v>67427</v>
      </c>
      <c r="K57">
        <v>-1807</v>
      </c>
      <c r="L57">
        <v>-5475</v>
      </c>
      <c r="M57">
        <v>7258</v>
      </c>
      <c r="N57">
        <v>1</v>
      </c>
      <c r="O57">
        <v>0.52429999999999999</v>
      </c>
      <c r="P57">
        <v>6.1561000000000003</v>
      </c>
      <c r="Q57">
        <v>0.78490000000000004</v>
      </c>
      <c r="R57" s="2">
        <v>4.0096999999999996</v>
      </c>
      <c r="S57">
        <v>6.6859999999999999</v>
      </c>
      <c r="T57">
        <v>-1.5986</v>
      </c>
      <c r="U57">
        <v>6.1117999999999997</v>
      </c>
      <c r="V57">
        <v>46000</v>
      </c>
      <c r="W57">
        <v>1.8122</v>
      </c>
    </row>
    <row r="58" spans="1:23" x14ac:dyDescent="0.3">
      <c r="A58">
        <v>2018</v>
      </c>
      <c r="B58" t="s">
        <v>29</v>
      </c>
      <c r="C58" t="s">
        <v>30</v>
      </c>
      <c r="D58">
        <v>34.86</v>
      </c>
      <c r="E58" s="1">
        <v>47389</v>
      </c>
      <c r="F58">
        <v>6921</v>
      </c>
      <c r="G58">
        <v>-6</v>
      </c>
      <c r="H58">
        <v>-0.01</v>
      </c>
      <c r="I58">
        <v>6897</v>
      </c>
      <c r="J58">
        <v>57309</v>
      </c>
      <c r="K58">
        <v>-394</v>
      </c>
      <c r="L58">
        <v>-223</v>
      </c>
      <c r="M58">
        <v>1249</v>
      </c>
      <c r="N58">
        <v>1</v>
      </c>
      <c r="O58">
        <v>0.60270000000000001</v>
      </c>
      <c r="P58">
        <v>0.1797</v>
      </c>
      <c r="Q58">
        <v>2.0899999999999998E-2</v>
      </c>
      <c r="R58" s="2">
        <v>0.11210000000000001</v>
      </c>
      <c r="S58">
        <v>-1.2699999999999999E-2</v>
      </c>
      <c r="T58">
        <v>7.9684999999999997</v>
      </c>
      <c r="U58">
        <v>0.1797</v>
      </c>
      <c r="V58">
        <v>49600</v>
      </c>
      <c r="W58">
        <v>2.4426000000000001</v>
      </c>
    </row>
    <row r="59" spans="1:23" x14ac:dyDescent="0.3">
      <c r="A59">
        <v>2017</v>
      </c>
      <c r="B59" t="s">
        <v>29</v>
      </c>
      <c r="C59" t="s">
        <v>30</v>
      </c>
      <c r="D59">
        <v>53.56</v>
      </c>
      <c r="E59" s="1">
        <v>49520</v>
      </c>
      <c r="F59">
        <v>6849</v>
      </c>
      <c r="G59">
        <v>-6084</v>
      </c>
      <c r="H59">
        <v>-6.54</v>
      </c>
      <c r="I59">
        <v>6435</v>
      </c>
      <c r="J59">
        <v>65708</v>
      </c>
      <c r="K59">
        <v>-7818</v>
      </c>
      <c r="L59">
        <v>14041</v>
      </c>
      <c r="M59">
        <v>-5697</v>
      </c>
      <c r="N59">
        <v>1</v>
      </c>
      <c r="O59">
        <v>0.48149999999999998</v>
      </c>
      <c r="P59">
        <v>-9.2225999999999999</v>
      </c>
      <c r="Q59">
        <v>-1.2161</v>
      </c>
      <c r="R59" s="2">
        <v>-6.2251000000000003</v>
      </c>
      <c r="S59">
        <v>-12.2859</v>
      </c>
      <c r="T59">
        <v>-11.611000000000001</v>
      </c>
      <c r="U59">
        <v>-9.2225999999999999</v>
      </c>
      <c r="V59">
        <v>49800</v>
      </c>
      <c r="W59">
        <v>2.1301000000000001</v>
      </c>
    </row>
    <row r="60" spans="1:23" x14ac:dyDescent="0.3">
      <c r="A60">
        <v>2016</v>
      </c>
      <c r="B60" t="s">
        <v>29</v>
      </c>
      <c r="C60" t="s">
        <v>30</v>
      </c>
      <c r="D60">
        <v>67.08</v>
      </c>
      <c r="E60" s="1">
        <v>52367</v>
      </c>
      <c r="F60">
        <v>5236</v>
      </c>
      <c r="G60">
        <v>-849</v>
      </c>
      <c r="H60">
        <v>-0.78</v>
      </c>
      <c r="I60">
        <v>4805</v>
      </c>
      <c r="J60">
        <v>76858</v>
      </c>
      <c r="K60">
        <v>3502</v>
      </c>
      <c r="L60">
        <v>3252</v>
      </c>
      <c r="M60">
        <v>-6833</v>
      </c>
      <c r="N60">
        <v>1</v>
      </c>
      <c r="O60">
        <v>0.4022</v>
      </c>
      <c r="P60">
        <v>-0.33700000000000002</v>
      </c>
      <c r="Q60">
        <v>-5.1999999999999998E-2</v>
      </c>
      <c r="R60" s="2">
        <v>-0.24030000000000001</v>
      </c>
      <c r="S60">
        <v>-1.6213</v>
      </c>
      <c r="T60">
        <v>1.0537000000000001</v>
      </c>
      <c r="U60">
        <v>-0.33700000000000002</v>
      </c>
      <c r="V60">
        <v>56400</v>
      </c>
      <c r="W60">
        <v>1.2616000000000001</v>
      </c>
    </row>
    <row r="61" spans="1:23" x14ac:dyDescent="0.3">
      <c r="A61">
        <v>2015</v>
      </c>
      <c r="B61" t="s">
        <v>29</v>
      </c>
      <c r="C61" t="s">
        <v>30</v>
      </c>
      <c r="D61">
        <v>76.66</v>
      </c>
      <c r="E61" s="1">
        <v>58327</v>
      </c>
      <c r="F61">
        <v>10565</v>
      </c>
      <c r="G61">
        <v>2196</v>
      </c>
      <c r="H61">
        <v>1.65</v>
      </c>
      <c r="I61">
        <v>9958</v>
      </c>
      <c r="J61">
        <v>90210</v>
      </c>
      <c r="K61">
        <v>2877</v>
      </c>
      <c r="L61">
        <v>8462</v>
      </c>
      <c r="M61">
        <v>-11429</v>
      </c>
      <c r="N61">
        <v>1</v>
      </c>
      <c r="O61">
        <v>0.32419999999999999</v>
      </c>
      <c r="P61">
        <v>2.4630999999999998</v>
      </c>
      <c r="Q61">
        <v>0.44719999999999999</v>
      </c>
      <c r="R61" s="2">
        <v>1.8601000000000001</v>
      </c>
      <c r="S61">
        <v>3.7650000000000001</v>
      </c>
      <c r="T61">
        <v>-1.3029999999999999</v>
      </c>
      <c r="U61">
        <v>2.4630999999999998</v>
      </c>
      <c r="V61">
        <v>66400</v>
      </c>
      <c r="W61">
        <v>0.1186</v>
      </c>
    </row>
    <row r="62" spans="1:23" x14ac:dyDescent="0.3">
      <c r="A62">
        <v>2014</v>
      </c>
      <c r="B62" t="s">
        <v>29</v>
      </c>
      <c r="C62" t="s">
        <v>30</v>
      </c>
      <c r="D62">
        <v>78.41</v>
      </c>
      <c r="E62" s="1">
        <v>64406</v>
      </c>
      <c r="F62">
        <v>19219</v>
      </c>
      <c r="G62">
        <v>7529</v>
      </c>
      <c r="H62">
        <v>5.2</v>
      </c>
      <c r="I62">
        <v>16752</v>
      </c>
      <c r="J62">
        <v>107272</v>
      </c>
      <c r="K62">
        <v>5007</v>
      </c>
      <c r="L62">
        <v>14284</v>
      </c>
      <c r="M62">
        <v>-19788</v>
      </c>
      <c r="N62">
        <v>1</v>
      </c>
      <c r="O62">
        <v>0.29099999999999998</v>
      </c>
      <c r="P62">
        <v>7.0606</v>
      </c>
      <c r="Q62">
        <v>1.4690000000000001</v>
      </c>
      <c r="R62" s="2">
        <v>5.4690000000000003</v>
      </c>
      <c r="S62">
        <v>11.6899</v>
      </c>
      <c r="T62">
        <v>-0.50070000000000003</v>
      </c>
      <c r="U62">
        <v>7.0606</v>
      </c>
      <c r="V62">
        <v>65000</v>
      </c>
      <c r="W62">
        <v>1.6222000000000001</v>
      </c>
    </row>
    <row r="63" spans="1:23" x14ac:dyDescent="0.3">
      <c r="A63">
        <v>2013</v>
      </c>
      <c r="B63" t="s">
        <v>29</v>
      </c>
      <c r="C63" t="s">
        <v>30</v>
      </c>
      <c r="D63">
        <v>75.16</v>
      </c>
      <c r="E63" s="1">
        <v>68874</v>
      </c>
      <c r="F63">
        <v>21915</v>
      </c>
      <c r="G63">
        <v>9085</v>
      </c>
      <c r="H63">
        <v>6.13</v>
      </c>
      <c r="I63">
        <v>16922</v>
      </c>
      <c r="J63">
        <v>101081</v>
      </c>
      <c r="K63">
        <v>5865</v>
      </c>
      <c r="L63">
        <v>7099</v>
      </c>
      <c r="M63">
        <v>-11758</v>
      </c>
      <c r="N63">
        <v>1</v>
      </c>
      <c r="O63">
        <v>0.41249999999999998</v>
      </c>
      <c r="P63">
        <v>8.9116999999999997</v>
      </c>
      <c r="Q63">
        <v>1.6640999999999999</v>
      </c>
      <c r="R63" s="2">
        <v>6.3093000000000004</v>
      </c>
      <c r="S63">
        <v>13.190799999999999</v>
      </c>
      <c r="T63">
        <v>1.7808999999999999</v>
      </c>
      <c r="U63">
        <v>8.9116999999999997</v>
      </c>
      <c r="V63">
        <v>64000</v>
      </c>
      <c r="W63">
        <v>1.4648000000000001</v>
      </c>
    </row>
    <row r="64" spans="1:23" x14ac:dyDescent="0.3">
      <c r="A64">
        <v>2012</v>
      </c>
      <c r="B64" t="s">
        <v>29</v>
      </c>
      <c r="C64" t="s">
        <v>30</v>
      </c>
      <c r="D64">
        <v>52.11</v>
      </c>
      <c r="E64" s="1">
        <v>71214</v>
      </c>
      <c r="F64">
        <v>21825</v>
      </c>
      <c r="G64">
        <v>3438</v>
      </c>
      <c r="H64">
        <v>2.04</v>
      </c>
      <c r="I64">
        <v>19327</v>
      </c>
      <c r="J64">
        <v>98669</v>
      </c>
      <c r="K64">
        <v>3676</v>
      </c>
      <c r="L64">
        <v>16612</v>
      </c>
      <c r="M64">
        <v>-20564</v>
      </c>
      <c r="N64">
        <v>1</v>
      </c>
      <c r="O64">
        <v>0.49149999999999999</v>
      </c>
      <c r="P64">
        <v>3.7488999999999999</v>
      </c>
      <c r="Q64">
        <v>0.67420000000000002</v>
      </c>
      <c r="R64" s="2">
        <v>2.5133999999999999</v>
      </c>
      <c r="S64">
        <v>4.8277000000000001</v>
      </c>
      <c r="T64">
        <v>2.2237</v>
      </c>
      <c r="U64">
        <v>3.7488999999999999</v>
      </c>
      <c r="V64">
        <v>63000</v>
      </c>
      <c r="W64">
        <v>2.0693000000000001</v>
      </c>
    </row>
    <row r="65" spans="1:23" x14ac:dyDescent="0.3">
      <c r="A65">
        <v>2011</v>
      </c>
      <c r="B65" t="s">
        <v>29</v>
      </c>
      <c r="C65" t="s">
        <v>30</v>
      </c>
      <c r="D65">
        <v>44.06</v>
      </c>
      <c r="E65" s="1">
        <v>65105</v>
      </c>
      <c r="F65">
        <v>18692</v>
      </c>
      <c r="G65">
        <v>19810</v>
      </c>
      <c r="H65">
        <v>11.01</v>
      </c>
      <c r="I65">
        <v>15225</v>
      </c>
      <c r="J65">
        <v>102393</v>
      </c>
      <c r="K65">
        <v>-81</v>
      </c>
      <c r="L65">
        <v>36448</v>
      </c>
      <c r="M65">
        <v>-36926</v>
      </c>
      <c r="N65">
        <v>1</v>
      </c>
      <c r="O65">
        <v>0.7349</v>
      </c>
      <c r="P65">
        <v>18.4222</v>
      </c>
      <c r="Q65">
        <v>3.4106999999999998</v>
      </c>
      <c r="R65" s="2">
        <v>10.6183</v>
      </c>
      <c r="S65">
        <v>30.427800000000001</v>
      </c>
      <c r="T65">
        <v>-121.5022</v>
      </c>
      <c r="U65">
        <v>18.4222</v>
      </c>
      <c r="V65">
        <v>57000</v>
      </c>
      <c r="W65">
        <v>3.1568000000000001</v>
      </c>
    </row>
    <row r="66" spans="1:23" x14ac:dyDescent="0.3">
      <c r="A66">
        <v>2010</v>
      </c>
      <c r="B66" t="s">
        <v>29</v>
      </c>
      <c r="C66" t="s">
        <v>30</v>
      </c>
      <c r="D66">
        <v>7.79</v>
      </c>
      <c r="E66" s="1">
        <v>72829</v>
      </c>
      <c r="F66">
        <v>16787</v>
      </c>
      <c r="G66">
        <v>2046</v>
      </c>
      <c r="H66">
        <v>14.98</v>
      </c>
      <c r="I66">
        <v>21166</v>
      </c>
      <c r="J66">
        <v>113239</v>
      </c>
      <c r="K66">
        <v>16597</v>
      </c>
      <c r="L66">
        <v>-9912</v>
      </c>
      <c r="M66">
        <v>-9261</v>
      </c>
      <c r="N66">
        <v>1</v>
      </c>
      <c r="O66">
        <v>0.75480000000000003</v>
      </c>
      <c r="P66">
        <v>32.126199999999997</v>
      </c>
      <c r="Q66">
        <v>1.9393</v>
      </c>
      <c r="R66" s="2">
        <v>6.6699000000000002</v>
      </c>
      <c r="S66">
        <v>2.8092999999999999</v>
      </c>
      <c r="T66">
        <v>-15.871499999999999</v>
      </c>
      <c r="U66">
        <v>11.704499999999999</v>
      </c>
      <c r="V66">
        <v>63000</v>
      </c>
      <c r="W66">
        <v>1.64</v>
      </c>
    </row>
    <row r="67" spans="1:23" x14ac:dyDescent="0.3">
      <c r="A67">
        <v>2009</v>
      </c>
      <c r="B67" t="s">
        <v>29</v>
      </c>
      <c r="C67" t="s">
        <v>30</v>
      </c>
      <c r="D67">
        <v>4.04</v>
      </c>
      <c r="E67" s="1">
        <v>75447</v>
      </c>
      <c r="F67">
        <v>18614</v>
      </c>
      <c r="G67">
        <v>-12244</v>
      </c>
      <c r="H67">
        <v>-90.48</v>
      </c>
      <c r="I67">
        <v>27765</v>
      </c>
      <c r="J67">
        <v>98076</v>
      </c>
      <c r="K67">
        <v>18584</v>
      </c>
      <c r="L67">
        <v>5778</v>
      </c>
      <c r="M67">
        <v>-28997</v>
      </c>
      <c r="N67">
        <v>1</v>
      </c>
      <c r="O67">
        <v>1.1552</v>
      </c>
      <c r="P67">
        <v>-45.306100000000001</v>
      </c>
      <c r="Q67">
        <v>-1.5123</v>
      </c>
      <c r="R67" s="2">
        <v>-6.0640999999999998</v>
      </c>
      <c r="S67">
        <v>-16.2286</v>
      </c>
      <c r="T67">
        <v>137.3287</v>
      </c>
      <c r="U67">
        <v>-13.950699999999999</v>
      </c>
      <c r="V67">
        <v>96000</v>
      </c>
      <c r="W67">
        <v>-0.35549999999999998</v>
      </c>
    </row>
    <row r="68" spans="1:23" x14ac:dyDescent="0.3">
      <c r="A68">
        <v>2022</v>
      </c>
      <c r="B68" t="s">
        <v>31</v>
      </c>
      <c r="C68" t="s">
        <v>32</v>
      </c>
      <c r="D68">
        <v>41.28</v>
      </c>
      <c r="E68" s="1">
        <v>21680</v>
      </c>
      <c r="F68">
        <v>16824</v>
      </c>
      <c r="G68">
        <v>1800</v>
      </c>
      <c r="H68">
        <v>0.84</v>
      </c>
      <c r="I68">
        <v>5693</v>
      </c>
      <c r="J68">
        <v>23075</v>
      </c>
      <c r="K68">
        <v>3721</v>
      </c>
      <c r="L68">
        <v>-10214</v>
      </c>
      <c r="M68">
        <v>7133</v>
      </c>
      <c r="N68">
        <v>0.81169999999999998</v>
      </c>
      <c r="O68">
        <v>2.2563</v>
      </c>
      <c r="P68">
        <v>7.8613</v>
      </c>
      <c r="Q68">
        <v>1.5288999999999999</v>
      </c>
      <c r="R68" s="2">
        <v>2.5615000000000001</v>
      </c>
      <c r="S68">
        <v>8.3026</v>
      </c>
      <c r="T68">
        <v>-1.6E-2</v>
      </c>
      <c r="U68">
        <v>7.8613</v>
      </c>
      <c r="V68">
        <v>26010</v>
      </c>
      <c r="W68">
        <v>8.0028000000000006</v>
      </c>
    </row>
    <row r="69" spans="1:23" x14ac:dyDescent="0.3">
      <c r="A69">
        <v>2021</v>
      </c>
      <c r="B69" t="s">
        <v>31</v>
      </c>
      <c r="C69" t="s">
        <v>32</v>
      </c>
      <c r="D69">
        <v>32.200000000000003</v>
      </c>
      <c r="E69" s="1">
        <v>20642</v>
      </c>
      <c r="F69">
        <v>16261</v>
      </c>
      <c r="G69">
        <v>-102</v>
      </c>
      <c r="H69">
        <v>-0.05</v>
      </c>
      <c r="I69">
        <v>5286</v>
      </c>
      <c r="J69">
        <v>21223</v>
      </c>
      <c r="K69">
        <v>2262</v>
      </c>
      <c r="L69">
        <v>-6905</v>
      </c>
      <c r="M69">
        <v>4323</v>
      </c>
      <c r="N69">
        <v>0.63560000000000005</v>
      </c>
      <c r="O69">
        <v>2.1152000000000002</v>
      </c>
      <c r="P69">
        <v>-0.41460000000000002</v>
      </c>
      <c r="Q69">
        <v>-8.5199999999999998E-2</v>
      </c>
      <c r="R69" s="2">
        <v>-0.14799999999999999</v>
      </c>
      <c r="S69">
        <v>-0.49409999999999998</v>
      </c>
      <c r="T69">
        <v>18.602499999999999</v>
      </c>
      <c r="U69">
        <v>-0.41460000000000002</v>
      </c>
      <c r="V69">
        <v>26000</v>
      </c>
      <c r="W69">
        <v>4.6978999999999997</v>
      </c>
    </row>
    <row r="70" spans="1:23" x14ac:dyDescent="0.3">
      <c r="A70">
        <v>2020</v>
      </c>
      <c r="B70" t="s">
        <v>31</v>
      </c>
      <c r="C70" t="s">
        <v>32</v>
      </c>
      <c r="D70">
        <v>24.1</v>
      </c>
      <c r="E70" s="1">
        <v>18469</v>
      </c>
      <c r="F70">
        <v>14571</v>
      </c>
      <c r="G70">
        <v>-1318</v>
      </c>
      <c r="H70">
        <v>-1.05</v>
      </c>
      <c r="I70">
        <v>5223</v>
      </c>
      <c r="J70">
        <v>21253</v>
      </c>
      <c r="K70">
        <v>-19130</v>
      </c>
      <c r="L70">
        <v>-7748</v>
      </c>
      <c r="M70">
        <v>25928</v>
      </c>
      <c r="N70">
        <v>0.70699999999999996</v>
      </c>
      <c r="O70">
        <v>1.9227000000000001</v>
      </c>
      <c r="P70">
        <v>-6.1356000000000002</v>
      </c>
      <c r="Q70">
        <v>-1.3326</v>
      </c>
      <c r="R70" s="2">
        <v>-2.2275</v>
      </c>
      <c r="S70">
        <v>-7.1363000000000003</v>
      </c>
      <c r="T70">
        <v>-18.501300000000001</v>
      </c>
      <c r="U70">
        <v>-6.1356000000000002</v>
      </c>
      <c r="V70">
        <v>24000</v>
      </c>
      <c r="W70">
        <v>1.2336</v>
      </c>
    </row>
    <row r="71" spans="1:23" x14ac:dyDescent="0.3">
      <c r="A71">
        <v>2019</v>
      </c>
      <c r="B71" t="s">
        <v>31</v>
      </c>
      <c r="C71" t="s">
        <v>32</v>
      </c>
      <c r="D71">
        <v>24.73</v>
      </c>
      <c r="E71" s="1">
        <v>17129</v>
      </c>
      <c r="F71">
        <v>13300</v>
      </c>
      <c r="G71">
        <v>-7656</v>
      </c>
      <c r="H71">
        <v>-14.5</v>
      </c>
      <c r="I71">
        <v>-6860</v>
      </c>
      <c r="J71">
        <v>5388</v>
      </c>
      <c r="K71">
        <v>4816</v>
      </c>
      <c r="L71">
        <v>-6378</v>
      </c>
      <c r="M71">
        <v>1464</v>
      </c>
      <c r="N71">
        <v>1.3321000000000001</v>
      </c>
      <c r="O71">
        <v>0</v>
      </c>
      <c r="P71">
        <v>-141.83369999999999</v>
      </c>
      <c r="Q71">
        <v>-8.9699000000000009</v>
      </c>
      <c r="R71" s="2">
        <v>-141.83369999999999</v>
      </c>
      <c r="S71">
        <v>-44.696100000000001</v>
      </c>
      <c r="T71">
        <v>0.57289999999999996</v>
      </c>
      <c r="U71">
        <v>-141.83369999999999</v>
      </c>
      <c r="V71">
        <v>23000</v>
      </c>
      <c r="W71">
        <v>1.8122</v>
      </c>
    </row>
    <row r="72" spans="1:23" x14ac:dyDescent="0.3">
      <c r="A72">
        <v>2018</v>
      </c>
      <c r="B72" t="s">
        <v>31</v>
      </c>
      <c r="C72" t="s">
        <v>32</v>
      </c>
      <c r="D72">
        <v>5.75</v>
      </c>
      <c r="E72" s="1">
        <v>16759</v>
      </c>
      <c r="F72">
        <v>12260</v>
      </c>
      <c r="G72">
        <v>-6851</v>
      </c>
      <c r="H72">
        <v>-13.25</v>
      </c>
      <c r="I72">
        <v>-6664</v>
      </c>
      <c r="J72">
        <v>12903</v>
      </c>
      <c r="K72">
        <v>4752</v>
      </c>
      <c r="L72">
        <v>-6564</v>
      </c>
      <c r="M72">
        <v>3031</v>
      </c>
      <c r="N72">
        <v>0.2205</v>
      </c>
      <c r="O72">
        <v>1.7045999999999999</v>
      </c>
      <c r="P72">
        <v>-52.987699999999997</v>
      </c>
      <c r="Q72">
        <v>-8.8797999999999995</v>
      </c>
      <c r="R72" s="2">
        <v>-52.987699999999997</v>
      </c>
      <c r="S72">
        <v>-40.8795</v>
      </c>
      <c r="T72">
        <v>-4.0631000000000004</v>
      </c>
      <c r="U72">
        <v>-52.987699999999997</v>
      </c>
      <c r="V72">
        <v>24000</v>
      </c>
      <c r="W72">
        <v>2.4426000000000001</v>
      </c>
    </row>
    <row r="73" spans="1:23" x14ac:dyDescent="0.3">
      <c r="A73">
        <v>2017</v>
      </c>
      <c r="B73" t="s">
        <v>31</v>
      </c>
      <c r="C73" t="s">
        <v>32</v>
      </c>
      <c r="D73">
        <v>12.32</v>
      </c>
      <c r="E73" s="1">
        <v>17135</v>
      </c>
      <c r="F73">
        <v>12080</v>
      </c>
      <c r="G73">
        <v>1646</v>
      </c>
      <c r="H73">
        <v>3.21</v>
      </c>
      <c r="I73">
        <v>5759</v>
      </c>
      <c r="J73">
        <v>19472</v>
      </c>
      <c r="K73">
        <v>5977</v>
      </c>
      <c r="L73">
        <v>-5650</v>
      </c>
      <c r="M73">
        <v>-55</v>
      </c>
      <c r="N73">
        <v>0.88100000000000001</v>
      </c>
      <c r="O73">
        <v>0.98240000000000005</v>
      </c>
      <c r="P73">
        <v>8.5251000000000001</v>
      </c>
      <c r="Q73">
        <v>2.4407000000000001</v>
      </c>
      <c r="R73" s="2">
        <v>4.4593999999999996</v>
      </c>
      <c r="S73">
        <v>9.6060999999999996</v>
      </c>
      <c r="T73">
        <v>3.2498</v>
      </c>
      <c r="U73">
        <v>8.5251000000000001</v>
      </c>
      <c r="V73">
        <v>23000</v>
      </c>
      <c r="W73">
        <v>2.1301000000000001</v>
      </c>
    </row>
    <row r="74" spans="1:23" x14ac:dyDescent="0.3">
      <c r="A74">
        <v>2016</v>
      </c>
      <c r="B74" t="s">
        <v>31</v>
      </c>
      <c r="C74" t="s">
        <v>32</v>
      </c>
      <c r="D74">
        <v>23.06</v>
      </c>
      <c r="E74" s="1">
        <v>17666</v>
      </c>
      <c r="F74">
        <v>12286</v>
      </c>
      <c r="G74">
        <v>1393</v>
      </c>
      <c r="H74">
        <v>2.78</v>
      </c>
      <c r="I74">
        <v>4835</v>
      </c>
      <c r="J74">
        <v>18192</v>
      </c>
      <c r="K74">
        <v>4409</v>
      </c>
      <c r="L74">
        <v>-5753</v>
      </c>
      <c r="M74">
        <v>1171</v>
      </c>
      <c r="N74">
        <v>0.81489999999999996</v>
      </c>
      <c r="O74">
        <v>1.0134000000000001</v>
      </c>
      <c r="P74">
        <v>7.7342000000000004</v>
      </c>
      <c r="Q74">
        <v>2.0510999999999999</v>
      </c>
      <c r="R74" s="2">
        <v>4.0887000000000002</v>
      </c>
      <c r="S74">
        <v>7.8852000000000002</v>
      </c>
      <c r="T74">
        <v>0.2656</v>
      </c>
      <c r="U74">
        <v>7.7342000000000004</v>
      </c>
      <c r="V74">
        <v>24000</v>
      </c>
      <c r="W74">
        <v>1.2616000000000001</v>
      </c>
    </row>
    <row r="75" spans="1:23" x14ac:dyDescent="0.3">
      <c r="A75">
        <v>2015</v>
      </c>
      <c r="B75" t="s">
        <v>31</v>
      </c>
      <c r="C75" t="s">
        <v>32</v>
      </c>
      <c r="D75">
        <v>30.73</v>
      </c>
      <c r="E75" s="1">
        <v>16833</v>
      </c>
      <c r="F75">
        <v>11071</v>
      </c>
      <c r="G75">
        <v>874</v>
      </c>
      <c r="H75">
        <v>1.79</v>
      </c>
      <c r="I75">
        <v>4120</v>
      </c>
      <c r="J75">
        <v>16828</v>
      </c>
      <c r="K75">
        <v>3780</v>
      </c>
      <c r="L75">
        <v>-5211</v>
      </c>
      <c r="M75">
        <v>1403</v>
      </c>
      <c r="N75">
        <v>0.91359999999999997</v>
      </c>
      <c r="O75">
        <v>1.0164</v>
      </c>
      <c r="P75">
        <v>5.2769000000000004</v>
      </c>
      <c r="Q75">
        <v>1.4043000000000001</v>
      </c>
      <c r="R75" s="2">
        <v>2.7111999999999998</v>
      </c>
      <c r="S75">
        <v>5.1921999999999997</v>
      </c>
      <c r="T75">
        <v>-0.42849999999999999</v>
      </c>
      <c r="U75">
        <v>5.2769000000000004</v>
      </c>
      <c r="V75">
        <v>23000</v>
      </c>
      <c r="W75">
        <v>0.1186</v>
      </c>
    </row>
    <row r="76" spans="1:23" x14ac:dyDescent="0.3">
      <c r="A76">
        <v>2014</v>
      </c>
      <c r="B76" t="s">
        <v>31</v>
      </c>
      <c r="C76" t="s">
        <v>32</v>
      </c>
      <c r="D76">
        <v>26.09</v>
      </c>
      <c r="E76" s="1">
        <v>17090</v>
      </c>
      <c r="F76">
        <v>10521</v>
      </c>
      <c r="G76">
        <v>1436</v>
      </c>
      <c r="H76">
        <v>3.06</v>
      </c>
      <c r="I76">
        <v>4883</v>
      </c>
      <c r="J76">
        <v>16000</v>
      </c>
      <c r="K76">
        <v>3690</v>
      </c>
      <c r="L76">
        <v>-4714</v>
      </c>
      <c r="M76">
        <v>879</v>
      </c>
      <c r="N76">
        <v>1.0791999999999999</v>
      </c>
      <c r="O76">
        <v>0.98019999999999996</v>
      </c>
      <c r="P76">
        <v>9.0625</v>
      </c>
      <c r="Q76">
        <v>2.4116</v>
      </c>
      <c r="R76" s="2">
        <v>4.6699000000000002</v>
      </c>
      <c r="S76">
        <v>8.4025999999999996</v>
      </c>
      <c r="T76">
        <v>1.5681</v>
      </c>
      <c r="U76">
        <v>9.0625</v>
      </c>
      <c r="V76">
        <v>22581</v>
      </c>
      <c r="W76">
        <v>1.6222000000000001</v>
      </c>
    </row>
    <row r="77" spans="1:23" x14ac:dyDescent="0.3">
      <c r="A77">
        <v>2013</v>
      </c>
      <c r="B77" t="s">
        <v>31</v>
      </c>
      <c r="C77" t="s">
        <v>32</v>
      </c>
      <c r="D77">
        <v>25.29</v>
      </c>
      <c r="E77" s="1">
        <v>15598</v>
      </c>
      <c r="F77">
        <v>9614</v>
      </c>
      <c r="G77">
        <v>814</v>
      </c>
      <c r="H77">
        <v>1.83</v>
      </c>
      <c r="I77">
        <v>3839</v>
      </c>
      <c r="J77">
        <v>14594</v>
      </c>
      <c r="K77">
        <v>3427</v>
      </c>
      <c r="L77">
        <v>-5107</v>
      </c>
      <c r="M77">
        <v>1575</v>
      </c>
      <c r="N77">
        <v>0.79769999999999996</v>
      </c>
      <c r="O77">
        <v>1.0126999999999999</v>
      </c>
      <c r="P77">
        <v>5.6736000000000004</v>
      </c>
      <c r="Q77">
        <v>1.4891000000000001</v>
      </c>
      <c r="R77" s="2">
        <v>3.0316999999999998</v>
      </c>
      <c r="S77">
        <v>5.2186000000000003</v>
      </c>
      <c r="T77">
        <v>-4.6071</v>
      </c>
      <c r="U77">
        <v>5.6736000000000004</v>
      </c>
      <c r="V77">
        <v>21166</v>
      </c>
      <c r="W77">
        <v>1.4648000000000001</v>
      </c>
    </row>
    <row r="78" spans="1:23" x14ac:dyDescent="0.3">
      <c r="A78">
        <v>2012</v>
      </c>
      <c r="B78" t="s">
        <v>31</v>
      </c>
      <c r="C78" t="s">
        <v>32</v>
      </c>
      <c r="D78">
        <v>18.100000000000001</v>
      </c>
      <c r="E78" s="1">
        <v>15040</v>
      </c>
      <c r="F78">
        <v>10017</v>
      </c>
      <c r="G78">
        <v>816</v>
      </c>
      <c r="H78">
        <v>1.92</v>
      </c>
      <c r="I78">
        <v>3965</v>
      </c>
      <c r="J78">
        <v>13326</v>
      </c>
      <c r="K78">
        <v>4882</v>
      </c>
      <c r="L78">
        <v>-4526</v>
      </c>
      <c r="M78">
        <v>-468</v>
      </c>
      <c r="N78">
        <v>0.81859999999999999</v>
      </c>
      <c r="O78">
        <v>1.0062</v>
      </c>
      <c r="P78">
        <v>6.2283999999999997</v>
      </c>
      <c r="Q78">
        <v>1.5825</v>
      </c>
      <c r="R78" s="2">
        <v>3.2117</v>
      </c>
      <c r="S78">
        <v>5.4255000000000004</v>
      </c>
      <c r="T78">
        <v>1.3509</v>
      </c>
      <c r="U78">
        <v>6.2283999999999997</v>
      </c>
      <c r="V78">
        <v>20593</v>
      </c>
      <c r="W78">
        <v>2.0693000000000001</v>
      </c>
    </row>
    <row r="79" spans="1:23" x14ac:dyDescent="0.3">
      <c r="A79">
        <v>2011</v>
      </c>
      <c r="B79" t="s">
        <v>31</v>
      </c>
      <c r="C79" t="s">
        <v>32</v>
      </c>
      <c r="D79">
        <v>17.14</v>
      </c>
      <c r="E79" s="1">
        <v>14956</v>
      </c>
      <c r="F79">
        <v>9623</v>
      </c>
      <c r="G79">
        <v>844</v>
      </c>
      <c r="H79">
        <v>2.1</v>
      </c>
      <c r="I79">
        <v>4157</v>
      </c>
      <c r="J79">
        <v>12353</v>
      </c>
      <c r="K79">
        <v>3739</v>
      </c>
      <c r="L79">
        <v>-3986</v>
      </c>
      <c r="M79">
        <v>469</v>
      </c>
      <c r="N79">
        <v>0.83620000000000005</v>
      </c>
      <c r="O79">
        <v>1.1241000000000001</v>
      </c>
      <c r="P79">
        <v>6.9457000000000004</v>
      </c>
      <c r="Q79">
        <v>1.7245999999999999</v>
      </c>
      <c r="R79" s="2">
        <v>3.5573999999999999</v>
      </c>
      <c r="S79">
        <v>5.6432000000000002</v>
      </c>
      <c r="T79">
        <v>0.77659999999999996</v>
      </c>
      <c r="U79">
        <v>6.9457000000000004</v>
      </c>
      <c r="V79">
        <v>19274</v>
      </c>
      <c r="W79">
        <v>3.1568000000000001</v>
      </c>
    </row>
    <row r="80" spans="1:23" x14ac:dyDescent="0.3">
      <c r="A80">
        <v>2010</v>
      </c>
      <c r="B80" t="s">
        <v>31</v>
      </c>
      <c r="C80" t="s">
        <v>32</v>
      </c>
      <c r="D80">
        <v>16.73</v>
      </c>
      <c r="E80" s="1">
        <v>13841</v>
      </c>
      <c r="F80">
        <v>8652</v>
      </c>
      <c r="G80">
        <v>1099</v>
      </c>
      <c r="H80">
        <v>2.82</v>
      </c>
      <c r="I80">
        <v>4213</v>
      </c>
      <c r="J80">
        <v>11534</v>
      </c>
      <c r="K80">
        <v>3206</v>
      </c>
      <c r="L80">
        <v>-3857</v>
      </c>
      <c r="M80">
        <v>415</v>
      </c>
      <c r="N80">
        <v>0.77129999999999999</v>
      </c>
      <c r="O80">
        <v>1.1613</v>
      </c>
      <c r="P80">
        <v>9.6496999999999993</v>
      </c>
      <c r="Q80">
        <v>2.4182999999999999</v>
      </c>
      <c r="R80" s="2">
        <v>4.8681000000000001</v>
      </c>
      <c r="S80">
        <v>7.9401999999999999</v>
      </c>
      <c r="T80">
        <v>0.86040000000000005</v>
      </c>
      <c r="U80">
        <v>9.6496999999999993</v>
      </c>
      <c r="V80">
        <v>19424</v>
      </c>
      <c r="W80">
        <v>1.64</v>
      </c>
    </row>
    <row r="81" spans="1:23" x14ac:dyDescent="0.3">
      <c r="A81">
        <v>2009</v>
      </c>
      <c r="B81" t="s">
        <v>31</v>
      </c>
      <c r="C81" t="s">
        <v>32</v>
      </c>
      <c r="D81">
        <v>18.760000000000002</v>
      </c>
      <c r="E81" s="1">
        <v>13399</v>
      </c>
      <c r="F81">
        <v>8397</v>
      </c>
      <c r="G81">
        <v>1220</v>
      </c>
      <c r="H81">
        <v>3.2</v>
      </c>
      <c r="I81">
        <v>4051</v>
      </c>
      <c r="J81">
        <v>10585</v>
      </c>
      <c r="K81">
        <v>3039</v>
      </c>
      <c r="L81">
        <v>-3336</v>
      </c>
      <c r="M81">
        <v>605</v>
      </c>
      <c r="N81">
        <v>0.83030000000000004</v>
      </c>
      <c r="O81">
        <v>1.2062999999999999</v>
      </c>
      <c r="P81">
        <v>11.657999999999999</v>
      </c>
      <c r="Q81">
        <v>2.8734000000000002</v>
      </c>
      <c r="R81" s="2">
        <v>5.6623999999999999</v>
      </c>
      <c r="S81">
        <v>9.1052</v>
      </c>
      <c r="T81">
        <v>-2.3807999999999998</v>
      </c>
      <c r="U81">
        <v>11.657999999999999</v>
      </c>
      <c r="V81">
        <v>19425</v>
      </c>
      <c r="W81">
        <v>-0.35549999999999998</v>
      </c>
    </row>
    <row r="82" spans="1:23" x14ac:dyDescent="0.3">
      <c r="A82">
        <v>2018</v>
      </c>
      <c r="B82" t="s">
        <v>33</v>
      </c>
      <c r="C82" t="s">
        <v>34</v>
      </c>
      <c r="D82">
        <v>0.04</v>
      </c>
      <c r="E82" s="1">
        <v>16702</v>
      </c>
      <c r="F82">
        <v>3527</v>
      </c>
      <c r="G82">
        <v>-383</v>
      </c>
      <c r="H82">
        <v>-3.57</v>
      </c>
      <c r="I82">
        <v>-52</v>
      </c>
      <c r="J82">
        <v>-3723</v>
      </c>
      <c r="K82">
        <v>-1842</v>
      </c>
      <c r="L82">
        <v>1894</v>
      </c>
      <c r="M82">
        <v>-2</v>
      </c>
      <c r="N82">
        <v>0.77559999999999996</v>
      </c>
      <c r="O82">
        <v>-1.1099000000000001</v>
      </c>
      <c r="P82">
        <v>10.2874</v>
      </c>
      <c r="Q82">
        <v>-5.274</v>
      </c>
      <c r="R82" s="2">
        <v>25.983699999999999</v>
      </c>
      <c r="S82">
        <v>-2.2930999999999999</v>
      </c>
      <c r="T82">
        <v>3.0663</v>
      </c>
      <c r="U82">
        <v>7.4225000000000003</v>
      </c>
      <c r="V82">
        <v>89900</v>
      </c>
      <c r="W82">
        <v>2.4426000000000001</v>
      </c>
    </row>
    <row r="83" spans="1:23" x14ac:dyDescent="0.3">
      <c r="A83">
        <v>2017</v>
      </c>
      <c r="B83" t="s">
        <v>33</v>
      </c>
      <c r="C83" t="s">
        <v>34</v>
      </c>
      <c r="D83">
        <v>0.37</v>
      </c>
      <c r="E83" s="1">
        <v>22138</v>
      </c>
      <c r="F83">
        <v>4686</v>
      </c>
      <c r="G83">
        <v>-2221</v>
      </c>
      <c r="H83">
        <v>-20.78</v>
      </c>
      <c r="I83">
        <v>-1610</v>
      </c>
      <c r="J83">
        <v>-3824</v>
      </c>
      <c r="K83">
        <v>-1381</v>
      </c>
      <c r="L83">
        <v>244</v>
      </c>
      <c r="M83">
        <v>1185</v>
      </c>
      <c r="N83">
        <v>1.0672999999999999</v>
      </c>
      <c r="O83">
        <v>-1.0887</v>
      </c>
      <c r="P83">
        <v>58.080500000000001</v>
      </c>
      <c r="Q83">
        <v>-23.723600000000001</v>
      </c>
      <c r="R83" s="2">
        <v>884.8605</v>
      </c>
      <c r="S83">
        <v>-10.032500000000001</v>
      </c>
      <c r="T83">
        <v>-13.9382</v>
      </c>
      <c r="U83">
        <v>39.561799999999998</v>
      </c>
      <c r="V83">
        <v>140000</v>
      </c>
      <c r="W83">
        <v>2.1301000000000001</v>
      </c>
    </row>
    <row r="84" spans="1:23" x14ac:dyDescent="0.3">
      <c r="A84">
        <v>2016</v>
      </c>
      <c r="B84" t="s">
        <v>33</v>
      </c>
      <c r="C84" t="s">
        <v>34</v>
      </c>
      <c r="D84">
        <v>1.1100000000000001</v>
      </c>
      <c r="E84" s="1">
        <v>25146</v>
      </c>
      <c r="F84">
        <v>5810</v>
      </c>
      <c r="G84">
        <v>-1129</v>
      </c>
      <c r="H84">
        <v>-10.59</v>
      </c>
      <c r="I84">
        <v>-570</v>
      </c>
      <c r="J84">
        <v>-1956</v>
      </c>
      <c r="K84">
        <v>-2167</v>
      </c>
      <c r="L84">
        <v>2519</v>
      </c>
      <c r="M84">
        <v>-364</v>
      </c>
      <c r="N84">
        <v>1.1115999999999999</v>
      </c>
      <c r="O84">
        <v>-1.5215000000000001</v>
      </c>
      <c r="P84">
        <v>57.668700000000001</v>
      </c>
      <c r="Q84">
        <v>-9.9497</v>
      </c>
      <c r="R84" s="2">
        <v>-742.10519999999997</v>
      </c>
      <c r="S84">
        <v>-4.4897999999999998</v>
      </c>
      <c r="T84">
        <v>14.901400000000001</v>
      </c>
      <c r="U84">
        <v>27.285900000000002</v>
      </c>
      <c r="V84">
        <v>178000</v>
      </c>
      <c r="W84">
        <v>1.2616000000000001</v>
      </c>
    </row>
    <row r="85" spans="1:23" x14ac:dyDescent="0.3">
      <c r="A85">
        <v>2015</v>
      </c>
      <c r="B85" t="s">
        <v>33</v>
      </c>
      <c r="C85" t="s">
        <v>34</v>
      </c>
      <c r="D85">
        <v>2.19</v>
      </c>
      <c r="E85" s="1">
        <v>31198</v>
      </c>
      <c r="F85">
        <v>7149</v>
      </c>
      <c r="G85">
        <v>-1682</v>
      </c>
      <c r="H85">
        <v>-15.82</v>
      </c>
      <c r="I85">
        <v>-889</v>
      </c>
      <c r="J85">
        <v>-945</v>
      </c>
      <c r="K85">
        <v>-1387</v>
      </c>
      <c r="L85">
        <v>327</v>
      </c>
      <c r="M85">
        <v>285</v>
      </c>
      <c r="N85">
        <v>1.0479000000000001</v>
      </c>
      <c r="O85">
        <v>-3.9958</v>
      </c>
      <c r="P85">
        <v>191.53440000000001</v>
      </c>
      <c r="Q85">
        <v>-13.7277</v>
      </c>
      <c r="R85" s="2">
        <v>-84.500500000000002</v>
      </c>
      <c r="S85">
        <v>-5.3914</v>
      </c>
      <c r="T85">
        <v>-7.4240000000000004</v>
      </c>
      <c r="U85">
        <v>54.6663</v>
      </c>
      <c r="V85">
        <v>196000</v>
      </c>
      <c r="W85">
        <v>0.1186</v>
      </c>
    </row>
    <row r="86" spans="1:23" x14ac:dyDescent="0.3">
      <c r="A86">
        <v>2014</v>
      </c>
      <c r="B86" t="s">
        <v>33</v>
      </c>
      <c r="C86" t="s">
        <v>34</v>
      </c>
      <c r="D86">
        <v>3.51</v>
      </c>
      <c r="E86" s="1">
        <v>36188</v>
      </c>
      <c r="F86">
        <v>8755</v>
      </c>
      <c r="G86">
        <v>-1365</v>
      </c>
      <c r="H86">
        <v>-12.87</v>
      </c>
      <c r="I86">
        <v>-195</v>
      </c>
      <c r="J86">
        <v>2183</v>
      </c>
      <c r="K86">
        <v>-1109</v>
      </c>
      <c r="L86">
        <v>664</v>
      </c>
      <c r="M86">
        <v>902</v>
      </c>
      <c r="N86">
        <v>1.0946</v>
      </c>
      <c r="O86">
        <v>1.9463999999999999</v>
      </c>
      <c r="P86">
        <v>-51.122300000000003</v>
      </c>
      <c r="Q86">
        <v>-6.1113999999999997</v>
      </c>
      <c r="R86" s="2">
        <v>-22.244399999999999</v>
      </c>
      <c r="S86">
        <v>-3.7719999999999998</v>
      </c>
      <c r="T86">
        <v>-2.7683</v>
      </c>
      <c r="U86">
        <v>106.6922</v>
      </c>
      <c r="V86">
        <v>226000</v>
      </c>
      <c r="W86">
        <v>1.6222000000000001</v>
      </c>
    </row>
    <row r="87" spans="1:23" x14ac:dyDescent="0.3">
      <c r="A87">
        <v>2013</v>
      </c>
      <c r="B87" t="s">
        <v>33</v>
      </c>
      <c r="C87" t="s">
        <v>34</v>
      </c>
      <c r="D87">
        <v>4.9000000000000004</v>
      </c>
      <c r="E87" s="1">
        <v>39854</v>
      </c>
      <c r="F87">
        <v>10514</v>
      </c>
      <c r="G87">
        <v>-930</v>
      </c>
      <c r="H87">
        <v>-8.7799999999999994</v>
      </c>
      <c r="I87">
        <v>-8</v>
      </c>
      <c r="J87">
        <v>3172</v>
      </c>
      <c r="K87">
        <v>-303</v>
      </c>
      <c r="L87">
        <v>191</v>
      </c>
      <c r="M87">
        <v>-27</v>
      </c>
      <c r="N87">
        <v>1.1011</v>
      </c>
      <c r="O87">
        <v>0.98360000000000003</v>
      </c>
      <c r="P87">
        <v>-33.228299999999997</v>
      </c>
      <c r="Q87">
        <v>-5.4497999999999998</v>
      </c>
      <c r="R87" s="2">
        <v>-20.606100000000001</v>
      </c>
      <c r="S87">
        <v>-2.3334999999999999</v>
      </c>
      <c r="T87">
        <v>4.5387000000000004</v>
      </c>
      <c r="U87">
        <v>1197.7270000000001</v>
      </c>
      <c r="V87">
        <v>246000</v>
      </c>
      <c r="W87">
        <v>1.4648000000000001</v>
      </c>
    </row>
    <row r="88" spans="1:23" x14ac:dyDescent="0.3">
      <c r="A88">
        <v>2012</v>
      </c>
      <c r="B88" t="s">
        <v>33</v>
      </c>
      <c r="C88" t="s">
        <v>34</v>
      </c>
      <c r="D88">
        <v>4.47</v>
      </c>
      <c r="E88" s="1">
        <v>41567</v>
      </c>
      <c r="F88">
        <v>10601</v>
      </c>
      <c r="G88">
        <v>-3140</v>
      </c>
      <c r="H88">
        <v>-29.4</v>
      </c>
      <c r="I88">
        <v>-648</v>
      </c>
      <c r="J88">
        <v>4341</v>
      </c>
      <c r="K88">
        <v>-275</v>
      </c>
      <c r="L88">
        <v>-309</v>
      </c>
      <c r="M88">
        <v>-28</v>
      </c>
      <c r="N88">
        <v>1.1120000000000001</v>
      </c>
      <c r="O88">
        <v>0.80469999999999997</v>
      </c>
      <c r="P88">
        <v>-71.872799999999998</v>
      </c>
      <c r="Q88">
        <v>-14.5924</v>
      </c>
      <c r="R88" s="2">
        <v>-48.530099999999997</v>
      </c>
      <c r="S88">
        <v>-7.5541</v>
      </c>
      <c r="T88">
        <v>-3.5464000000000002</v>
      </c>
      <c r="U88">
        <v>-554.17409999999995</v>
      </c>
      <c r="V88">
        <v>264000</v>
      </c>
      <c r="W88">
        <v>2.0693000000000001</v>
      </c>
    </row>
    <row r="89" spans="1:23" x14ac:dyDescent="0.3">
      <c r="A89">
        <v>2011</v>
      </c>
      <c r="B89" t="s">
        <v>33</v>
      </c>
      <c r="C89" t="s">
        <v>34</v>
      </c>
      <c r="D89">
        <v>3.39</v>
      </c>
      <c r="E89" s="1">
        <v>42664</v>
      </c>
      <c r="F89">
        <v>11664</v>
      </c>
      <c r="G89">
        <v>133</v>
      </c>
      <c r="H89">
        <v>1.19</v>
      </c>
      <c r="I89">
        <v>1306</v>
      </c>
      <c r="J89">
        <v>8614</v>
      </c>
      <c r="K89">
        <v>123</v>
      </c>
      <c r="L89">
        <v>-406</v>
      </c>
      <c r="M89">
        <v>-95</v>
      </c>
      <c r="N89">
        <v>1.3374999999999999</v>
      </c>
      <c r="O89">
        <v>0.37069999999999997</v>
      </c>
      <c r="P89">
        <v>1.6136999999999999</v>
      </c>
      <c r="Q89">
        <v>0.5706</v>
      </c>
      <c r="R89" s="2">
        <v>1.2685</v>
      </c>
      <c r="S89">
        <v>0.31169999999999998</v>
      </c>
      <c r="T89">
        <v>-12.4078</v>
      </c>
      <c r="U89">
        <v>3.2867999999999999</v>
      </c>
      <c r="V89">
        <v>280000</v>
      </c>
      <c r="W89">
        <v>3.1568000000000001</v>
      </c>
    </row>
    <row r="90" spans="1:23" x14ac:dyDescent="0.3">
      <c r="A90">
        <v>2010</v>
      </c>
      <c r="B90" t="s">
        <v>33</v>
      </c>
      <c r="C90" t="s">
        <v>34</v>
      </c>
      <c r="D90">
        <v>8.2200000000000006</v>
      </c>
      <c r="E90" s="1">
        <v>43360</v>
      </c>
      <c r="F90">
        <v>11986</v>
      </c>
      <c r="G90">
        <v>235</v>
      </c>
      <c r="H90">
        <v>1.99</v>
      </c>
      <c r="I90">
        <v>1561</v>
      </c>
      <c r="J90">
        <v>9435</v>
      </c>
      <c r="K90">
        <v>1507</v>
      </c>
      <c r="L90">
        <v>-172</v>
      </c>
      <c r="M90">
        <v>-951</v>
      </c>
      <c r="N90">
        <v>1.3018000000000001</v>
      </c>
      <c r="O90">
        <v>0.26550000000000001</v>
      </c>
      <c r="P90">
        <v>2.9676999999999998</v>
      </c>
      <c r="Q90">
        <v>1.1287</v>
      </c>
      <c r="R90" s="2">
        <v>2.5150000000000001</v>
      </c>
      <c r="S90">
        <v>0.54200000000000004</v>
      </c>
      <c r="T90">
        <v>5.4337</v>
      </c>
      <c r="U90">
        <v>5.7911000000000001</v>
      </c>
      <c r="V90">
        <v>290000</v>
      </c>
      <c r="W90">
        <v>1.64</v>
      </c>
    </row>
    <row r="91" spans="1:23" x14ac:dyDescent="0.3">
      <c r="A91">
        <v>2009</v>
      </c>
      <c r="B91" t="s">
        <v>33</v>
      </c>
      <c r="C91" t="s">
        <v>34</v>
      </c>
      <c r="D91">
        <v>8.98</v>
      </c>
      <c r="E91" s="1">
        <v>46770</v>
      </c>
      <c r="F91">
        <v>12652</v>
      </c>
      <c r="G91">
        <v>53</v>
      </c>
      <c r="H91">
        <v>0.42</v>
      </c>
      <c r="I91">
        <v>1283</v>
      </c>
      <c r="J91">
        <v>9699</v>
      </c>
      <c r="K91">
        <v>992</v>
      </c>
      <c r="L91">
        <v>-637</v>
      </c>
      <c r="M91">
        <v>-643</v>
      </c>
      <c r="N91">
        <v>1.3411999999999999</v>
      </c>
      <c r="O91">
        <v>0.30099999999999999</v>
      </c>
      <c r="P91">
        <v>1.0206999999999999</v>
      </c>
      <c r="Q91">
        <v>0.39069999999999999</v>
      </c>
      <c r="R91" s="2">
        <v>0.83679999999999999</v>
      </c>
      <c r="S91">
        <v>0.1133</v>
      </c>
      <c r="T91">
        <v>4.5747999999999998</v>
      </c>
      <c r="U91">
        <v>1.9704999999999999</v>
      </c>
      <c r="V91">
        <v>291000</v>
      </c>
      <c r="W91">
        <v>-0.35549999999999998</v>
      </c>
    </row>
    <row r="92" spans="1:23" x14ac:dyDescent="0.3">
      <c r="A92">
        <v>2022</v>
      </c>
      <c r="B92" t="s">
        <v>35</v>
      </c>
      <c r="C92" t="s">
        <v>36</v>
      </c>
      <c r="D92">
        <v>186.39</v>
      </c>
      <c r="E92" s="1">
        <v>23182.6</v>
      </c>
      <c r="F92">
        <v>13207.2</v>
      </c>
      <c r="G92">
        <v>6177.4</v>
      </c>
      <c r="H92">
        <v>8.33</v>
      </c>
      <c r="I92">
        <v>11241.6</v>
      </c>
      <c r="J92">
        <v>-6003.4</v>
      </c>
      <c r="K92">
        <v>7386.7</v>
      </c>
      <c r="L92">
        <v>-2678.1</v>
      </c>
      <c r="M92">
        <v>-6580.2</v>
      </c>
      <c r="N92">
        <v>1.4266000000000001</v>
      </c>
      <c r="O92">
        <v>-5.9805000000000001</v>
      </c>
      <c r="P92">
        <v>-102.89830000000001</v>
      </c>
      <c r="Q92">
        <v>12.248100000000001</v>
      </c>
      <c r="R92" s="2">
        <v>20.6601</v>
      </c>
      <c r="S92">
        <v>26.646699999999999</v>
      </c>
      <c r="T92">
        <v>-2.1322999999999999</v>
      </c>
      <c r="U92">
        <v>-69.379400000000004</v>
      </c>
      <c r="V92">
        <v>150000</v>
      </c>
      <c r="W92">
        <v>8.0028000000000006</v>
      </c>
    </row>
    <row r="93" spans="1:23" x14ac:dyDescent="0.3">
      <c r="A93">
        <v>2021</v>
      </c>
      <c r="B93" t="s">
        <v>35</v>
      </c>
      <c r="C93" t="s">
        <v>36</v>
      </c>
      <c r="D93">
        <v>193.02</v>
      </c>
      <c r="E93" s="1">
        <v>23222.9</v>
      </c>
      <c r="F93">
        <v>12580.2</v>
      </c>
      <c r="G93">
        <v>7545.2</v>
      </c>
      <c r="H93">
        <v>10.039999999999999</v>
      </c>
      <c r="I93">
        <v>12224.1</v>
      </c>
      <c r="J93">
        <v>-4601</v>
      </c>
      <c r="K93">
        <v>9141.5</v>
      </c>
      <c r="L93">
        <v>-2165.6999999999998</v>
      </c>
      <c r="M93">
        <v>-5595.6</v>
      </c>
      <c r="N93">
        <v>1.7782</v>
      </c>
      <c r="O93">
        <v>-7.7423999999999999</v>
      </c>
      <c r="P93">
        <v>-163.99029999999999</v>
      </c>
      <c r="Q93">
        <v>14.010400000000001</v>
      </c>
      <c r="R93" s="2">
        <v>24.322299999999998</v>
      </c>
      <c r="S93">
        <v>32.490299999999998</v>
      </c>
      <c r="T93">
        <v>3.3856999999999999</v>
      </c>
      <c r="U93">
        <v>-102.19</v>
      </c>
      <c r="V93">
        <v>200000</v>
      </c>
      <c r="W93">
        <v>4.6978999999999997</v>
      </c>
    </row>
    <row r="94" spans="1:23" x14ac:dyDescent="0.3">
      <c r="A94">
        <v>2020</v>
      </c>
      <c r="B94" t="s">
        <v>35</v>
      </c>
      <c r="C94" t="s">
        <v>36</v>
      </c>
      <c r="D94">
        <v>200.31</v>
      </c>
      <c r="E94" s="1">
        <v>19207.8</v>
      </c>
      <c r="F94">
        <v>9752.1010000000006</v>
      </c>
      <c r="G94">
        <v>4730.5</v>
      </c>
      <c r="H94">
        <v>6.31</v>
      </c>
      <c r="I94">
        <v>9075.4</v>
      </c>
      <c r="J94">
        <v>-7824.9</v>
      </c>
      <c r="K94">
        <v>6265.2</v>
      </c>
      <c r="L94">
        <v>-1545.8</v>
      </c>
      <c r="M94">
        <v>-2249</v>
      </c>
      <c r="N94">
        <v>1.01</v>
      </c>
      <c r="O94">
        <v>-4.7847999999999997</v>
      </c>
      <c r="P94">
        <v>-60.454500000000003</v>
      </c>
      <c r="Q94">
        <v>8.9887999999999995</v>
      </c>
      <c r="R94" s="2">
        <v>17.282299999999999</v>
      </c>
      <c r="S94">
        <v>24.628</v>
      </c>
      <c r="T94">
        <v>-1.4852000000000001</v>
      </c>
      <c r="U94">
        <v>-44.635800000000003</v>
      </c>
      <c r="V94">
        <v>200000</v>
      </c>
      <c r="W94">
        <v>1.2336</v>
      </c>
    </row>
    <row r="95" spans="1:23" x14ac:dyDescent="0.3">
      <c r="A95">
        <v>2019</v>
      </c>
      <c r="B95" t="s">
        <v>35</v>
      </c>
      <c r="C95" t="s">
        <v>36</v>
      </c>
      <c r="D95">
        <v>159.88999999999999</v>
      </c>
      <c r="E95" s="1">
        <v>21364.400000000001</v>
      </c>
      <c r="F95">
        <v>11179.4</v>
      </c>
      <c r="G95">
        <v>6025.4</v>
      </c>
      <c r="H95">
        <v>7.88</v>
      </c>
      <c r="I95">
        <v>10687.7</v>
      </c>
      <c r="J95">
        <v>-8210.2999999999993</v>
      </c>
      <c r="K95">
        <v>8122.1</v>
      </c>
      <c r="L95">
        <v>-3071.1</v>
      </c>
      <c r="M95">
        <v>-4994.8</v>
      </c>
      <c r="N95">
        <v>0.98260000000000003</v>
      </c>
      <c r="O95">
        <v>-4.1627000000000001</v>
      </c>
      <c r="P95">
        <v>-73.388300000000001</v>
      </c>
      <c r="Q95">
        <v>12.6822</v>
      </c>
      <c r="R95" s="2">
        <v>23.257100000000001</v>
      </c>
      <c r="S95">
        <v>28.202999999999999</v>
      </c>
      <c r="T95">
        <v>2.1046</v>
      </c>
      <c r="U95">
        <v>-55.3414</v>
      </c>
      <c r="V95">
        <v>205000</v>
      </c>
      <c r="W95">
        <v>1.8122</v>
      </c>
    </row>
    <row r="96" spans="1:23" x14ac:dyDescent="0.3">
      <c r="A96">
        <v>2018</v>
      </c>
      <c r="B96" t="s">
        <v>35</v>
      </c>
      <c r="C96" t="s">
        <v>36</v>
      </c>
      <c r="D96">
        <v>148.82</v>
      </c>
      <c r="E96" s="1">
        <v>21257.9</v>
      </c>
      <c r="F96">
        <v>10832.6</v>
      </c>
      <c r="G96">
        <v>5924.3</v>
      </c>
      <c r="H96">
        <v>7.54</v>
      </c>
      <c r="I96">
        <v>10304.6</v>
      </c>
      <c r="J96">
        <v>-6258.4</v>
      </c>
      <c r="K96">
        <v>6966.7</v>
      </c>
      <c r="L96">
        <v>-2455.1</v>
      </c>
      <c r="M96">
        <v>-5949.6</v>
      </c>
      <c r="N96">
        <v>1.3631</v>
      </c>
      <c r="O96">
        <v>-4.9653999999999998</v>
      </c>
      <c r="P96">
        <v>-94.661600000000007</v>
      </c>
      <c r="Q96">
        <v>18.055700000000002</v>
      </c>
      <c r="R96" s="2">
        <v>23.872</v>
      </c>
      <c r="S96">
        <v>27.8687</v>
      </c>
      <c r="T96">
        <v>0.84360000000000002</v>
      </c>
      <c r="U96">
        <v>-68.968199999999996</v>
      </c>
      <c r="V96">
        <v>210000</v>
      </c>
      <c r="W96">
        <v>2.4426000000000001</v>
      </c>
    </row>
    <row r="97" spans="1:23" x14ac:dyDescent="0.3">
      <c r="A97">
        <v>2017</v>
      </c>
      <c r="B97" t="s">
        <v>35</v>
      </c>
      <c r="C97" t="s">
        <v>36</v>
      </c>
      <c r="D97">
        <v>136.88999999999999</v>
      </c>
      <c r="E97" s="1">
        <v>22820.400000000001</v>
      </c>
      <c r="F97">
        <v>10620.8</v>
      </c>
      <c r="G97">
        <v>5192.3</v>
      </c>
      <c r="H97">
        <v>6.37</v>
      </c>
      <c r="I97">
        <v>10916.1</v>
      </c>
      <c r="J97">
        <v>-3268</v>
      </c>
      <c r="K97">
        <v>5551.2</v>
      </c>
      <c r="L97">
        <v>562</v>
      </c>
      <c r="M97">
        <v>-5310.8</v>
      </c>
      <c r="N97">
        <v>1.8429</v>
      </c>
      <c r="O97">
        <v>-9.0381</v>
      </c>
      <c r="P97">
        <v>-158.88319999999999</v>
      </c>
      <c r="Q97">
        <v>15.360200000000001</v>
      </c>
      <c r="R97" s="2">
        <v>19.766300000000001</v>
      </c>
      <c r="S97">
        <v>22.7529</v>
      </c>
      <c r="T97">
        <v>-0.27929999999999999</v>
      </c>
      <c r="U97">
        <v>-91.936499999999995</v>
      </c>
      <c r="V97">
        <v>235000</v>
      </c>
      <c r="W97">
        <v>2.1301000000000001</v>
      </c>
    </row>
    <row r="98" spans="1:23" x14ac:dyDescent="0.3">
      <c r="A98">
        <v>2016</v>
      </c>
      <c r="B98" t="s">
        <v>35</v>
      </c>
      <c r="C98" t="s">
        <v>36</v>
      </c>
      <c r="D98">
        <v>137.21</v>
      </c>
      <c r="E98" s="1">
        <v>24621.9</v>
      </c>
      <c r="F98">
        <v>10204.700000000001</v>
      </c>
      <c r="G98">
        <v>4686.5</v>
      </c>
      <c r="H98">
        <v>5.44</v>
      </c>
      <c r="I98">
        <v>9261.0020000000004</v>
      </c>
      <c r="J98">
        <v>-2204.3000000000002</v>
      </c>
      <c r="K98">
        <v>6059.6</v>
      </c>
      <c r="L98">
        <v>-981.6</v>
      </c>
      <c r="M98">
        <v>-11262.4</v>
      </c>
      <c r="N98">
        <v>1.3979999999999999</v>
      </c>
      <c r="O98">
        <v>-11.775</v>
      </c>
      <c r="P98">
        <v>-212.6069</v>
      </c>
      <c r="Q98">
        <v>15.1061</v>
      </c>
      <c r="R98" s="2">
        <v>19.7958</v>
      </c>
      <c r="S98">
        <v>19.033899999999999</v>
      </c>
      <c r="T98">
        <v>-0.21</v>
      </c>
      <c r="U98">
        <v>-103.20869999999999</v>
      </c>
      <c r="V98">
        <v>375000</v>
      </c>
      <c r="W98">
        <v>1.2616000000000001</v>
      </c>
    </row>
    <row r="99" spans="1:23" x14ac:dyDescent="0.3">
      <c r="A99">
        <v>2015</v>
      </c>
      <c r="B99" t="s">
        <v>35</v>
      </c>
      <c r="C99" t="s">
        <v>36</v>
      </c>
      <c r="D99">
        <v>101.08</v>
      </c>
      <c r="E99" s="1">
        <v>25413</v>
      </c>
      <c r="F99">
        <v>9789.2000000000007</v>
      </c>
      <c r="G99">
        <v>4529.3</v>
      </c>
      <c r="H99">
        <v>4.8</v>
      </c>
      <c r="I99">
        <v>8701.2000000000007</v>
      </c>
      <c r="J99">
        <v>7087.9</v>
      </c>
      <c r="K99">
        <v>6539.1</v>
      </c>
      <c r="L99">
        <v>-1420</v>
      </c>
      <c r="M99">
        <v>735.3</v>
      </c>
      <c r="N99">
        <v>3.2684000000000002</v>
      </c>
      <c r="O99">
        <v>3.4033000000000002</v>
      </c>
      <c r="P99">
        <v>63.901899999999998</v>
      </c>
      <c r="Q99">
        <v>11.938499999999999</v>
      </c>
      <c r="R99" s="2">
        <v>14.5123</v>
      </c>
      <c r="S99">
        <v>17.822800000000001</v>
      </c>
      <c r="T99">
        <v>0.93540000000000001</v>
      </c>
      <c r="U99">
        <v>99.074799999999996</v>
      </c>
      <c r="V99">
        <v>420000</v>
      </c>
      <c r="W99">
        <v>0.1186</v>
      </c>
    </row>
    <row r="100" spans="1:23" x14ac:dyDescent="0.3">
      <c r="A100">
        <v>2014</v>
      </c>
      <c r="B100" t="s">
        <v>35</v>
      </c>
      <c r="C100" t="s">
        <v>36</v>
      </c>
      <c r="D100">
        <v>108.48</v>
      </c>
      <c r="E100" s="1">
        <v>27441.3</v>
      </c>
      <c r="F100">
        <v>10455.700000000001</v>
      </c>
      <c r="G100">
        <v>4757.8</v>
      </c>
      <c r="H100">
        <v>4.82</v>
      </c>
      <c r="I100">
        <v>9593.7009999999991</v>
      </c>
      <c r="J100">
        <v>12853.4</v>
      </c>
      <c r="K100">
        <v>6730.3</v>
      </c>
      <c r="L100">
        <v>-2304.9</v>
      </c>
      <c r="M100">
        <v>-4618.3</v>
      </c>
      <c r="N100">
        <v>1.5232000000000001</v>
      </c>
      <c r="O100">
        <v>1.1619999999999999</v>
      </c>
      <c r="P100">
        <v>37.015900000000002</v>
      </c>
      <c r="Q100">
        <v>13.900600000000001</v>
      </c>
      <c r="R100" s="2">
        <v>17.121099999999998</v>
      </c>
      <c r="S100">
        <v>17.338100000000001</v>
      </c>
      <c r="T100">
        <v>2.2100000000000002E-2</v>
      </c>
      <c r="U100">
        <v>47.0227</v>
      </c>
      <c r="V100">
        <v>420000</v>
      </c>
      <c r="W100">
        <v>1.6222000000000001</v>
      </c>
    </row>
    <row r="101" spans="1:23" x14ac:dyDescent="0.3">
      <c r="A101">
        <v>2013</v>
      </c>
      <c r="B101" t="s">
        <v>35</v>
      </c>
      <c r="C101" t="s">
        <v>36</v>
      </c>
      <c r="D101">
        <v>91.19</v>
      </c>
      <c r="E101" s="1">
        <v>28105.7</v>
      </c>
      <c r="F101">
        <v>10902.7</v>
      </c>
      <c r="G101">
        <v>5585.9</v>
      </c>
      <c r="H101">
        <v>5.55</v>
      </c>
      <c r="I101">
        <v>10349.4</v>
      </c>
      <c r="J101">
        <v>16009.7</v>
      </c>
      <c r="K101">
        <v>7120.7</v>
      </c>
      <c r="L101">
        <v>-2673.8</v>
      </c>
      <c r="M101">
        <v>-4043</v>
      </c>
      <c r="N101">
        <v>1.5931</v>
      </c>
      <c r="O101">
        <v>0.88260000000000005</v>
      </c>
      <c r="P101">
        <v>34.890700000000002</v>
      </c>
      <c r="Q101">
        <v>15.251099999999999</v>
      </c>
      <c r="R101" s="2">
        <v>18.5335</v>
      </c>
      <c r="S101">
        <v>19.874600000000001</v>
      </c>
      <c r="T101">
        <v>0.43109999999999998</v>
      </c>
      <c r="U101">
        <v>42.520400000000002</v>
      </c>
      <c r="V101">
        <v>440000</v>
      </c>
      <c r="W101">
        <v>1.4648000000000001</v>
      </c>
    </row>
    <row r="102" spans="1:23" x14ac:dyDescent="0.3">
      <c r="A102">
        <v>2012</v>
      </c>
      <c r="B102" t="s">
        <v>35</v>
      </c>
      <c r="C102" t="s">
        <v>36</v>
      </c>
      <c r="D102">
        <v>96.55</v>
      </c>
      <c r="E102" s="1">
        <v>27567</v>
      </c>
      <c r="F102">
        <v>10816.3</v>
      </c>
      <c r="G102">
        <v>5464.8</v>
      </c>
      <c r="H102">
        <v>5.36</v>
      </c>
      <c r="I102">
        <v>10093.1</v>
      </c>
      <c r="J102">
        <v>15293.6</v>
      </c>
      <c r="K102">
        <v>6966.1</v>
      </c>
      <c r="L102">
        <v>-3167.3</v>
      </c>
      <c r="M102">
        <v>-3849.8</v>
      </c>
      <c r="N102">
        <v>1.4463999999999999</v>
      </c>
      <c r="O102">
        <v>0.89139999999999997</v>
      </c>
      <c r="P102">
        <v>35.732599999999998</v>
      </c>
      <c r="Q102">
        <v>15.443199999999999</v>
      </c>
      <c r="R102" s="2">
        <v>18.892299999999999</v>
      </c>
      <c r="S102">
        <v>19.823699999999999</v>
      </c>
      <c r="T102">
        <v>-0.3911</v>
      </c>
      <c r="U102">
        <v>43.754800000000003</v>
      </c>
      <c r="V102">
        <v>440000</v>
      </c>
      <c r="W102">
        <v>2.0693000000000001</v>
      </c>
    </row>
    <row r="103" spans="1:23" x14ac:dyDescent="0.3">
      <c r="A103">
        <v>2011</v>
      </c>
      <c r="B103" t="s">
        <v>35</v>
      </c>
      <c r="C103" t="s">
        <v>36</v>
      </c>
      <c r="D103">
        <v>88.56</v>
      </c>
      <c r="E103" s="1">
        <v>27006</v>
      </c>
      <c r="F103">
        <v>10686.6</v>
      </c>
      <c r="G103">
        <v>5503.1</v>
      </c>
      <c r="H103">
        <v>5.27</v>
      </c>
      <c r="I103">
        <v>9944.7009999999991</v>
      </c>
      <c r="J103">
        <v>14390.2</v>
      </c>
      <c r="K103">
        <v>7150.1</v>
      </c>
      <c r="L103">
        <v>-2570.9</v>
      </c>
      <c r="M103">
        <v>-4533</v>
      </c>
      <c r="N103">
        <v>1.2546999999999999</v>
      </c>
      <c r="O103">
        <v>0.86870000000000003</v>
      </c>
      <c r="P103">
        <v>38.241999999999997</v>
      </c>
      <c r="Q103">
        <v>16.6812</v>
      </c>
      <c r="R103" s="2">
        <v>20.747599999999998</v>
      </c>
      <c r="S103">
        <v>20.377300000000002</v>
      </c>
      <c r="T103">
        <v>0.33689999999999998</v>
      </c>
      <c r="U103">
        <v>46.886800000000001</v>
      </c>
      <c r="V103">
        <v>420000</v>
      </c>
      <c r="W103">
        <v>3.1568000000000001</v>
      </c>
    </row>
    <row r="104" spans="1:23" x14ac:dyDescent="0.3">
      <c r="A104">
        <v>2010</v>
      </c>
      <c r="B104" t="s">
        <v>35</v>
      </c>
      <c r="C104" t="s">
        <v>36</v>
      </c>
      <c r="D104">
        <v>102.66</v>
      </c>
      <c r="E104" s="1">
        <v>24074.6</v>
      </c>
      <c r="F104">
        <v>9637.2999999999993</v>
      </c>
      <c r="G104">
        <v>4946.3</v>
      </c>
      <c r="H104">
        <v>4.58</v>
      </c>
      <c r="I104">
        <v>8749.2999999999993</v>
      </c>
      <c r="J104">
        <v>14634.2</v>
      </c>
      <c r="K104">
        <v>6341.6</v>
      </c>
      <c r="L104">
        <v>-2056</v>
      </c>
      <c r="M104">
        <v>-3728.7</v>
      </c>
      <c r="N104">
        <v>1.4937</v>
      </c>
      <c r="O104">
        <v>0.78620000000000001</v>
      </c>
      <c r="P104">
        <v>33.799599999999998</v>
      </c>
      <c r="Q104">
        <v>15.469200000000001</v>
      </c>
      <c r="R104" s="2">
        <v>18.928699999999999</v>
      </c>
      <c r="S104">
        <v>20.5457</v>
      </c>
      <c r="T104">
        <v>0.46300000000000002</v>
      </c>
      <c r="U104">
        <v>41.054600000000001</v>
      </c>
      <c r="V104">
        <v>400000</v>
      </c>
      <c r="W104">
        <v>1.64</v>
      </c>
    </row>
    <row r="105" spans="1:23" x14ac:dyDescent="0.3">
      <c r="A105">
        <v>2009</v>
      </c>
      <c r="B105" t="s">
        <v>35</v>
      </c>
      <c r="C105" t="s">
        <v>36</v>
      </c>
      <c r="D105">
        <v>81.099999999999994</v>
      </c>
      <c r="E105" s="1">
        <v>22744.7</v>
      </c>
      <c r="F105">
        <v>8791.7999999999993</v>
      </c>
      <c r="G105">
        <v>4551</v>
      </c>
      <c r="H105">
        <v>4.1100000000000003</v>
      </c>
      <c r="I105">
        <v>8057.2</v>
      </c>
      <c r="J105">
        <v>14033.9</v>
      </c>
      <c r="K105">
        <v>5751</v>
      </c>
      <c r="L105">
        <v>-1655.3</v>
      </c>
      <c r="M105">
        <v>-4421</v>
      </c>
      <c r="N105">
        <v>1.1431</v>
      </c>
      <c r="O105">
        <v>0.75380000000000003</v>
      </c>
      <c r="P105">
        <v>32.428600000000003</v>
      </c>
      <c r="Q105">
        <v>15.0571</v>
      </c>
      <c r="R105" s="2">
        <v>18.5044</v>
      </c>
      <c r="S105">
        <v>20.0091</v>
      </c>
      <c r="T105">
        <v>3.4304999999999999</v>
      </c>
      <c r="U105">
        <v>39.203400000000002</v>
      </c>
      <c r="V105">
        <v>385000</v>
      </c>
      <c r="W105">
        <v>-0.35549999999999998</v>
      </c>
    </row>
    <row r="106" spans="1:23" x14ac:dyDescent="0.3">
      <c r="A106">
        <v>2022</v>
      </c>
      <c r="B106" t="s">
        <v>37</v>
      </c>
      <c r="C106" t="s">
        <v>38</v>
      </c>
      <c r="D106">
        <v>32.53</v>
      </c>
      <c r="E106" s="1">
        <v>30868.080000000002</v>
      </c>
      <c r="F106">
        <v>30868.080000000002</v>
      </c>
      <c r="G106">
        <v>6212.9489999999996</v>
      </c>
      <c r="H106">
        <v>1.4743999999999999</v>
      </c>
      <c r="I106">
        <v>1</v>
      </c>
      <c r="J106">
        <v>85667.7</v>
      </c>
      <c r="K106">
        <v>37392.720000000001</v>
      </c>
      <c r="L106">
        <v>-26807.33</v>
      </c>
      <c r="M106">
        <v>860.88239999999996</v>
      </c>
      <c r="N106">
        <v>1</v>
      </c>
      <c r="O106">
        <v>7.1601999999999997</v>
      </c>
      <c r="P106">
        <v>8.6240000000000006</v>
      </c>
      <c r="Q106">
        <v>0.39460000000000001</v>
      </c>
      <c r="R106" s="2">
        <v>1.284</v>
      </c>
      <c r="S106">
        <v>21.161999999999999</v>
      </c>
      <c r="T106">
        <v>-6.5476999999999999</v>
      </c>
      <c r="U106">
        <v>9.7883999999999993</v>
      </c>
      <c r="V106">
        <v>87400</v>
      </c>
      <c r="W106">
        <v>8.0028000000000006</v>
      </c>
    </row>
    <row r="107" spans="1:23" x14ac:dyDescent="0.3">
      <c r="A107">
        <v>2021</v>
      </c>
      <c r="B107" t="s">
        <v>37</v>
      </c>
      <c r="C107" t="s">
        <v>38</v>
      </c>
      <c r="D107">
        <v>43.6</v>
      </c>
      <c r="E107" s="1">
        <v>30169.69</v>
      </c>
      <c r="F107">
        <v>30169.69</v>
      </c>
      <c r="G107">
        <v>8766.2630000000008</v>
      </c>
      <c r="H107">
        <v>2.0131000000000001</v>
      </c>
      <c r="I107">
        <v>1</v>
      </c>
      <c r="J107">
        <v>96547.15</v>
      </c>
      <c r="K107">
        <v>67268.52</v>
      </c>
      <c r="L107">
        <v>5871.6769999999997</v>
      </c>
      <c r="M107">
        <v>147.13570000000001</v>
      </c>
      <c r="N107">
        <v>1</v>
      </c>
      <c r="O107">
        <v>6.3395999999999999</v>
      </c>
      <c r="P107">
        <v>10.2918</v>
      </c>
      <c r="Q107">
        <v>0.52200000000000002</v>
      </c>
      <c r="R107" s="2">
        <v>1.6696</v>
      </c>
      <c r="S107">
        <v>28.216699999999999</v>
      </c>
      <c r="T107">
        <v>-1.4282999999999999</v>
      </c>
      <c r="U107">
        <v>11.6267</v>
      </c>
      <c r="V107">
        <v>81600</v>
      </c>
      <c r="W107">
        <v>4.6978999999999997</v>
      </c>
    </row>
    <row r="108" spans="1:23" x14ac:dyDescent="0.3">
      <c r="A108">
        <v>2020</v>
      </c>
      <c r="B108" t="s">
        <v>37</v>
      </c>
      <c r="C108" t="s">
        <v>38</v>
      </c>
      <c r="D108">
        <v>34.659999999999997</v>
      </c>
      <c r="E108" s="1">
        <v>27947.54</v>
      </c>
      <c r="F108">
        <v>27947.54</v>
      </c>
      <c r="G108">
        <v>1959.384</v>
      </c>
      <c r="H108">
        <v>0.44159999999999999</v>
      </c>
      <c r="I108">
        <v>1</v>
      </c>
      <c r="J108">
        <v>85876.479999999996</v>
      </c>
      <c r="K108">
        <v>73836.42</v>
      </c>
      <c r="L108">
        <v>-23594.78</v>
      </c>
      <c r="M108">
        <v>3507.8879999999999</v>
      </c>
      <c r="N108">
        <v>1</v>
      </c>
      <c r="O108">
        <v>6.0327000000000002</v>
      </c>
      <c r="P108">
        <v>3.6796000000000002</v>
      </c>
      <c r="Q108">
        <v>0.18240000000000001</v>
      </c>
      <c r="R108" s="2">
        <v>0.60199999999999998</v>
      </c>
      <c r="S108">
        <v>9.0146999999999995</v>
      </c>
      <c r="T108">
        <v>20.434100000000001</v>
      </c>
      <c r="U108">
        <v>4.1759000000000004</v>
      </c>
      <c r="V108">
        <v>83000</v>
      </c>
      <c r="W108">
        <v>1.2336</v>
      </c>
    </row>
    <row r="109" spans="1:23" x14ac:dyDescent="0.3">
      <c r="A109">
        <v>2019</v>
      </c>
      <c r="B109" t="s">
        <v>37</v>
      </c>
      <c r="C109" t="s">
        <v>38</v>
      </c>
      <c r="D109">
        <v>40.78</v>
      </c>
      <c r="E109" s="1">
        <v>27621.9</v>
      </c>
      <c r="F109">
        <v>27621.9</v>
      </c>
      <c r="G109">
        <v>4180.5709999999999</v>
      </c>
      <c r="H109">
        <v>0.72</v>
      </c>
      <c r="I109">
        <v>1</v>
      </c>
      <c r="J109">
        <v>83841.259999999995</v>
      </c>
      <c r="K109">
        <v>-15699.49</v>
      </c>
      <c r="L109">
        <v>-16377.52</v>
      </c>
      <c r="M109">
        <v>881.06100000000004</v>
      </c>
      <c r="N109">
        <v>1</v>
      </c>
      <c r="O109">
        <v>5.3348000000000004</v>
      </c>
      <c r="P109">
        <v>5.1081000000000003</v>
      </c>
      <c r="Q109">
        <v>0.29420000000000002</v>
      </c>
      <c r="R109" s="2">
        <v>0.92010000000000003</v>
      </c>
      <c r="S109">
        <v>16.602399999999999</v>
      </c>
      <c r="T109">
        <v>-6.2895000000000003</v>
      </c>
      <c r="U109">
        <v>5.8289</v>
      </c>
      <c r="V109">
        <v>80800</v>
      </c>
      <c r="W109">
        <v>1.8122</v>
      </c>
    </row>
    <row r="110" spans="1:23" x14ac:dyDescent="0.3">
      <c r="A110">
        <v>2018</v>
      </c>
      <c r="B110" t="s">
        <v>37</v>
      </c>
      <c r="C110" t="s">
        <v>38</v>
      </c>
      <c r="D110">
        <v>31.68</v>
      </c>
      <c r="E110" s="1">
        <v>28212.33</v>
      </c>
      <c r="F110">
        <v>28212.33</v>
      </c>
      <c r="G110">
        <v>1860.711</v>
      </c>
      <c r="H110">
        <v>0.49120000000000003</v>
      </c>
      <c r="I110">
        <v>1</v>
      </c>
      <c r="J110">
        <v>85132.21</v>
      </c>
      <c r="K110">
        <v>11351.14</v>
      </c>
      <c r="L110">
        <v>903.65959999999995</v>
      </c>
      <c r="M110">
        <v>-9059.2880000000005</v>
      </c>
      <c r="N110">
        <v>1</v>
      </c>
      <c r="O110">
        <v>5.8975</v>
      </c>
      <c r="P110">
        <v>3.7191000000000001</v>
      </c>
      <c r="Q110">
        <v>0.20930000000000001</v>
      </c>
      <c r="R110" s="2">
        <v>0.61860000000000004</v>
      </c>
      <c r="S110">
        <v>7.0876999999999999</v>
      </c>
      <c r="T110">
        <v>-15.571199999999999</v>
      </c>
      <c r="U110">
        <v>4.2504</v>
      </c>
      <c r="V110">
        <v>83500</v>
      </c>
      <c r="W110">
        <v>2.4426000000000001</v>
      </c>
    </row>
    <row r="111" spans="1:23" x14ac:dyDescent="0.3">
      <c r="A111">
        <v>2017</v>
      </c>
      <c r="B111" t="s">
        <v>37</v>
      </c>
      <c r="C111" t="s">
        <v>38</v>
      </c>
      <c r="D111">
        <v>45.79</v>
      </c>
      <c r="E111" s="1">
        <v>27162.75</v>
      </c>
      <c r="F111">
        <v>27162.75</v>
      </c>
      <c r="G111">
        <v>-2477.0729999999999</v>
      </c>
      <c r="H111">
        <v>-0.57299999999999995</v>
      </c>
      <c r="I111">
        <v>1</v>
      </c>
      <c r="J111">
        <v>85081.42</v>
      </c>
      <c r="K111">
        <v>78244.34</v>
      </c>
      <c r="L111">
        <v>4513.3770000000004</v>
      </c>
      <c r="M111">
        <v>1238.537</v>
      </c>
      <c r="N111">
        <v>1</v>
      </c>
      <c r="O111">
        <v>5.2797000000000001</v>
      </c>
      <c r="P111">
        <v>1.9706999999999999</v>
      </c>
      <c r="Q111">
        <v>0.1148</v>
      </c>
      <c r="R111" s="2">
        <v>0.38619999999999999</v>
      </c>
      <c r="S111">
        <v>-10.2561</v>
      </c>
      <c r="T111">
        <v>14.5974</v>
      </c>
      <c r="U111">
        <v>2.2366999999999999</v>
      </c>
      <c r="V111">
        <v>79900</v>
      </c>
      <c r="W111">
        <v>2.1301000000000001</v>
      </c>
    </row>
    <row r="112" spans="1:23" x14ac:dyDescent="0.3">
      <c r="A112">
        <v>2016</v>
      </c>
      <c r="B112" t="s">
        <v>37</v>
      </c>
      <c r="C112" t="s">
        <v>38</v>
      </c>
      <c r="D112">
        <v>46.21</v>
      </c>
      <c r="E112" s="1">
        <v>29072.54</v>
      </c>
      <c r="F112">
        <v>29072.54</v>
      </c>
      <c r="G112">
        <v>2373.13</v>
      </c>
      <c r="H112">
        <v>0.55840000000000001</v>
      </c>
      <c r="I112">
        <v>1</v>
      </c>
      <c r="J112">
        <v>96720.98</v>
      </c>
      <c r="K112">
        <v>15295.92</v>
      </c>
      <c r="L112">
        <v>49749</v>
      </c>
      <c r="M112">
        <v>-1784.93</v>
      </c>
      <c r="N112">
        <v>1</v>
      </c>
      <c r="O112">
        <v>3.5002</v>
      </c>
      <c r="P112">
        <v>3.1345999999999998</v>
      </c>
      <c r="Q112">
        <v>0.18440000000000001</v>
      </c>
      <c r="R112" s="2">
        <v>0.8387</v>
      </c>
      <c r="S112">
        <v>9.1781000000000006</v>
      </c>
      <c r="T112">
        <v>-2.4382000000000001</v>
      </c>
      <c r="U112">
        <v>3.5150999999999999</v>
      </c>
      <c r="V112">
        <v>119300</v>
      </c>
      <c r="W112">
        <v>1.2616000000000001</v>
      </c>
    </row>
    <row r="113" spans="1:23" x14ac:dyDescent="0.3">
      <c r="A113">
        <v>2015</v>
      </c>
      <c r="B113" t="s">
        <v>37</v>
      </c>
      <c r="C113" t="s">
        <v>38</v>
      </c>
      <c r="D113">
        <v>53.45</v>
      </c>
      <c r="E113" s="1">
        <v>38919.160000000003</v>
      </c>
      <c r="F113">
        <v>38919.160000000003</v>
      </c>
      <c r="G113">
        <v>-495.39600000000002</v>
      </c>
      <c r="H113">
        <v>-0.1162</v>
      </c>
      <c r="I113">
        <v>1</v>
      </c>
      <c r="J113">
        <v>100706.1</v>
      </c>
      <c r="K113">
        <v>24659.71</v>
      </c>
      <c r="L113">
        <v>-12895.59</v>
      </c>
      <c r="M113">
        <v>-674.28899999999999</v>
      </c>
      <c r="N113">
        <v>1</v>
      </c>
      <c r="O113">
        <v>3.6646000000000001</v>
      </c>
      <c r="P113">
        <v>0.94589999999999996</v>
      </c>
      <c r="Q113">
        <v>5.5599999999999997E-2</v>
      </c>
      <c r="R113" s="2">
        <v>0.251</v>
      </c>
      <c r="S113">
        <v>-1.3882000000000001</v>
      </c>
      <c r="T113">
        <v>9.9995999999999992</v>
      </c>
      <c r="U113">
        <v>1.0808</v>
      </c>
      <c r="V113">
        <v>129400</v>
      </c>
      <c r="W113">
        <v>0.1186</v>
      </c>
    </row>
    <row r="114" spans="1:23" x14ac:dyDescent="0.3">
      <c r="A114">
        <v>2014</v>
      </c>
      <c r="B114" t="s">
        <v>37</v>
      </c>
      <c r="C114" t="s">
        <v>38</v>
      </c>
      <c r="D114">
        <v>60.47</v>
      </c>
      <c r="E114" s="1">
        <v>41677.15</v>
      </c>
      <c r="F114">
        <v>41677.15</v>
      </c>
      <c r="G114">
        <v>-197.77160000000001</v>
      </c>
      <c r="H114">
        <v>-4.5999999999999999E-2</v>
      </c>
      <c r="I114">
        <v>1</v>
      </c>
      <c r="J114">
        <v>108705.4</v>
      </c>
      <c r="K114">
        <v>-17207.810000000001</v>
      </c>
      <c r="L114">
        <v>17560.509999999998</v>
      </c>
      <c r="M114">
        <v>-5039.8900000000003</v>
      </c>
      <c r="N114">
        <v>1</v>
      </c>
      <c r="O114">
        <v>5.0612000000000004</v>
      </c>
      <c r="P114">
        <v>1.2810999999999999</v>
      </c>
      <c r="Q114">
        <v>6.2199999999999998E-2</v>
      </c>
      <c r="R114" s="2">
        <v>0.36709999999999998</v>
      </c>
      <c r="S114">
        <v>-0.51900000000000002</v>
      </c>
      <c r="T114">
        <v>6.6557000000000004</v>
      </c>
      <c r="U114">
        <v>1.4624999999999999</v>
      </c>
      <c r="V114">
        <v>132300</v>
      </c>
      <c r="W114">
        <v>1.6222000000000001</v>
      </c>
    </row>
    <row r="115" spans="1:23" x14ac:dyDescent="0.3">
      <c r="A115">
        <v>2013</v>
      </c>
      <c r="B115" t="s">
        <v>37</v>
      </c>
      <c r="C115" t="s">
        <v>38</v>
      </c>
      <c r="D115">
        <v>55.49</v>
      </c>
      <c r="E115" s="1">
        <v>43712.69</v>
      </c>
      <c r="F115">
        <v>43712.69</v>
      </c>
      <c r="G115">
        <v>846.55679999999995</v>
      </c>
      <c r="H115">
        <v>0.23200000000000001</v>
      </c>
      <c r="I115">
        <v>1</v>
      </c>
      <c r="J115">
        <v>100067.4</v>
      </c>
      <c r="K115">
        <v>-39392.269999999997</v>
      </c>
      <c r="L115">
        <v>-35434.89</v>
      </c>
      <c r="M115">
        <v>9247.9680000000008</v>
      </c>
      <c r="N115">
        <v>1</v>
      </c>
      <c r="O115">
        <v>6.6208</v>
      </c>
      <c r="P115">
        <v>2.0282</v>
      </c>
      <c r="Q115">
        <v>9.8799999999999999E-2</v>
      </c>
      <c r="R115" s="2">
        <v>0.54700000000000004</v>
      </c>
      <c r="S115">
        <v>2.1758000000000002</v>
      </c>
      <c r="T115">
        <v>-3.8584999999999998</v>
      </c>
      <c r="U115">
        <v>2.3052000000000001</v>
      </c>
      <c r="V115">
        <v>139600</v>
      </c>
      <c r="W115">
        <v>1.4648000000000001</v>
      </c>
    </row>
    <row r="116" spans="1:23" x14ac:dyDescent="0.3">
      <c r="A116">
        <v>2012</v>
      </c>
      <c r="B116" t="s">
        <v>37</v>
      </c>
      <c r="C116" t="s">
        <v>38</v>
      </c>
      <c r="D116">
        <v>52.82</v>
      </c>
      <c r="E116" s="1">
        <v>46036.06</v>
      </c>
      <c r="F116">
        <v>46036.06</v>
      </c>
      <c r="G116">
        <v>-1650.0889999999999</v>
      </c>
      <c r="H116">
        <v>-0.53900000000000003</v>
      </c>
      <c r="I116">
        <v>1</v>
      </c>
      <c r="J116">
        <v>99793.14</v>
      </c>
      <c r="K116">
        <v>-21741.23</v>
      </c>
      <c r="L116">
        <v>-11252.63</v>
      </c>
      <c r="M116">
        <v>-4504.8540000000003</v>
      </c>
      <c r="N116">
        <v>1</v>
      </c>
      <c r="O116">
        <v>7.6879999999999997</v>
      </c>
      <c r="P116">
        <v>-0.37490000000000001</v>
      </c>
      <c r="Q116">
        <v>-1.5800000000000002E-2</v>
      </c>
      <c r="R116" s="2">
        <v>-8.2900000000000001E-2</v>
      </c>
      <c r="S116">
        <v>-4.0909000000000004</v>
      </c>
      <c r="T116">
        <v>-21.998000000000001</v>
      </c>
      <c r="U116">
        <v>-0.42880000000000001</v>
      </c>
      <c r="V116">
        <v>139200</v>
      </c>
      <c r="W116">
        <v>2.0693000000000001</v>
      </c>
    </row>
    <row r="117" spans="1:23" x14ac:dyDescent="0.3">
      <c r="A117">
        <v>2011</v>
      </c>
      <c r="B117" t="s">
        <v>37</v>
      </c>
      <c r="C117" t="s">
        <v>38</v>
      </c>
      <c r="D117">
        <v>33.47</v>
      </c>
      <c r="E117" s="1">
        <v>48866.82</v>
      </c>
      <c r="F117">
        <v>48866.82</v>
      </c>
      <c r="G117">
        <v>6338.98</v>
      </c>
      <c r="H117">
        <v>1.54</v>
      </c>
      <c r="I117">
        <v>1</v>
      </c>
      <c r="J117">
        <v>104600.5</v>
      </c>
      <c r="K117">
        <v>46654.34</v>
      </c>
      <c r="L117">
        <v>-3067.61</v>
      </c>
      <c r="M117">
        <v>-9563.82</v>
      </c>
      <c r="N117">
        <v>1</v>
      </c>
      <c r="O117">
        <v>7.6044999999999998</v>
      </c>
      <c r="P117">
        <v>4.6121999999999996</v>
      </c>
      <c r="Q117">
        <v>0.1923</v>
      </c>
      <c r="R117" s="2">
        <v>1.3680000000000001</v>
      </c>
      <c r="S117">
        <v>12.235200000000001</v>
      </c>
      <c r="T117">
        <v>6.1199000000000003</v>
      </c>
      <c r="U117">
        <v>5.2431999999999999</v>
      </c>
      <c r="V117">
        <v>141100</v>
      </c>
      <c r="W117">
        <v>3.1568000000000001</v>
      </c>
    </row>
    <row r="118" spans="1:23" x14ac:dyDescent="0.3">
      <c r="A118">
        <v>2010</v>
      </c>
      <c r="B118" t="s">
        <v>37</v>
      </c>
      <c r="C118" t="s">
        <v>38</v>
      </c>
      <c r="D118">
        <v>47.13</v>
      </c>
      <c r="E118" s="1">
        <v>49030.07</v>
      </c>
      <c r="F118">
        <v>49030.07</v>
      </c>
      <c r="G118">
        <v>7034.11</v>
      </c>
      <c r="H118">
        <v>1.84</v>
      </c>
      <c r="I118">
        <v>1</v>
      </c>
      <c r="J118">
        <v>96275.73</v>
      </c>
      <c r="K118">
        <v>28894.16</v>
      </c>
      <c r="L118">
        <v>-8701.0300000000007</v>
      </c>
      <c r="M118">
        <v>245.86</v>
      </c>
      <c r="N118">
        <v>1</v>
      </c>
      <c r="O118">
        <v>9.3328000000000007</v>
      </c>
      <c r="P118">
        <v>6.0555000000000003</v>
      </c>
      <c r="Q118">
        <v>0.25309999999999999</v>
      </c>
      <c r="R118" s="2">
        <v>1.5241</v>
      </c>
      <c r="S118">
        <v>14.4688</v>
      </c>
      <c r="T118">
        <v>-12.8733</v>
      </c>
      <c r="U118">
        <v>7.0387000000000004</v>
      </c>
      <c r="V118">
        <v>147500</v>
      </c>
      <c r="W118">
        <v>1.64</v>
      </c>
    </row>
    <row r="119" spans="1:23" x14ac:dyDescent="0.3">
      <c r="A119">
        <v>2009</v>
      </c>
      <c r="B119" t="s">
        <v>37</v>
      </c>
      <c r="C119" t="s">
        <v>38</v>
      </c>
      <c r="D119">
        <v>36.840000000000003</v>
      </c>
      <c r="E119" s="1">
        <v>45992.04</v>
      </c>
      <c r="F119">
        <v>45992.04</v>
      </c>
      <c r="G119">
        <v>5497.87</v>
      </c>
      <c r="H119">
        <v>5.12</v>
      </c>
      <c r="I119">
        <v>1</v>
      </c>
      <c r="J119">
        <v>91570.7</v>
      </c>
      <c r="K119">
        <v>65523.51</v>
      </c>
      <c r="L119">
        <v>18026.64</v>
      </c>
      <c r="M119">
        <v>-1035.05</v>
      </c>
      <c r="N119">
        <v>1</v>
      </c>
      <c r="O119">
        <v>8.5152000000000001</v>
      </c>
      <c r="P119">
        <v>19.528300000000002</v>
      </c>
      <c r="Q119">
        <v>0.82820000000000005</v>
      </c>
      <c r="R119" s="2">
        <v>5.1862000000000004</v>
      </c>
      <c r="S119">
        <v>12.0558</v>
      </c>
      <c r="T119">
        <v>21.5535</v>
      </c>
      <c r="U119">
        <v>22.985099999999999</v>
      </c>
      <c r="V119">
        <v>144200</v>
      </c>
      <c r="W119">
        <v>-0.35549999999999998</v>
      </c>
    </row>
    <row r="120" spans="1:23" x14ac:dyDescent="0.3">
      <c r="A120">
        <v>2023</v>
      </c>
      <c r="B120" t="s">
        <v>39</v>
      </c>
      <c r="C120" t="s">
        <v>40</v>
      </c>
      <c r="D120">
        <v>1000.35</v>
      </c>
      <c r="E120" s="1">
        <v>26974</v>
      </c>
      <c r="F120">
        <v>15356</v>
      </c>
      <c r="G120">
        <v>4368</v>
      </c>
      <c r="H120">
        <v>1.74</v>
      </c>
      <c r="I120">
        <v>5768</v>
      </c>
      <c r="J120">
        <v>22101</v>
      </c>
      <c r="K120">
        <v>5641</v>
      </c>
      <c r="L120">
        <v>7375</v>
      </c>
      <c r="M120">
        <v>-11617</v>
      </c>
      <c r="N120">
        <v>3.5156000000000001</v>
      </c>
      <c r="O120">
        <v>0.49559999999999998</v>
      </c>
      <c r="P120">
        <v>19.7638</v>
      </c>
      <c r="Q120">
        <v>10.6066</v>
      </c>
      <c r="R120" s="2">
        <v>13.7341</v>
      </c>
      <c r="S120">
        <v>16.1934</v>
      </c>
      <c r="T120">
        <v>-1.6890000000000001</v>
      </c>
      <c r="U120">
        <v>27.209900000000001</v>
      </c>
      <c r="V120">
        <v>26196</v>
      </c>
      <c r="W120">
        <v>3.7</v>
      </c>
    </row>
    <row r="121" spans="1:23" x14ac:dyDescent="0.3">
      <c r="A121">
        <v>2022</v>
      </c>
      <c r="B121" t="s">
        <v>39</v>
      </c>
      <c r="C121" t="s">
        <v>40</v>
      </c>
      <c r="D121">
        <v>359.5</v>
      </c>
      <c r="E121" s="1">
        <v>26914</v>
      </c>
      <c r="F121">
        <v>17475</v>
      </c>
      <c r="G121">
        <v>9752</v>
      </c>
      <c r="H121">
        <v>3.85</v>
      </c>
      <c r="I121">
        <v>11215</v>
      </c>
      <c r="J121">
        <v>26612</v>
      </c>
      <c r="K121">
        <v>9108</v>
      </c>
      <c r="L121">
        <v>-9830</v>
      </c>
      <c r="M121">
        <v>1865</v>
      </c>
      <c r="N121">
        <v>6.6502999999999997</v>
      </c>
      <c r="O121">
        <v>0.4113</v>
      </c>
      <c r="P121">
        <v>36.645099999999999</v>
      </c>
      <c r="Q121">
        <v>22.069800000000001</v>
      </c>
      <c r="R121" s="2">
        <v>25.965199999999999</v>
      </c>
      <c r="S121">
        <v>36.233899999999998</v>
      </c>
      <c r="T121">
        <v>1.3378000000000001</v>
      </c>
      <c r="U121">
        <v>48.945999999999998</v>
      </c>
      <c r="V121">
        <v>22473</v>
      </c>
      <c r="W121">
        <v>8.0028000000000006</v>
      </c>
    </row>
    <row r="122" spans="1:23" x14ac:dyDescent="0.3">
      <c r="A122">
        <v>2021</v>
      </c>
      <c r="B122" t="s">
        <v>39</v>
      </c>
      <c r="C122" t="s">
        <v>40</v>
      </c>
      <c r="D122">
        <v>735.86</v>
      </c>
      <c r="E122" s="1">
        <v>16675</v>
      </c>
      <c r="F122">
        <v>10396</v>
      </c>
      <c r="G122">
        <v>4332</v>
      </c>
      <c r="H122">
        <v>1.73</v>
      </c>
      <c r="I122">
        <v>5630</v>
      </c>
      <c r="J122">
        <v>16893</v>
      </c>
      <c r="K122">
        <v>5822</v>
      </c>
      <c r="L122">
        <v>-19675</v>
      </c>
      <c r="M122">
        <v>3804</v>
      </c>
      <c r="N122">
        <v>4.0903999999999998</v>
      </c>
      <c r="O122">
        <v>0.41220000000000001</v>
      </c>
      <c r="P122">
        <v>25.643799999999999</v>
      </c>
      <c r="Q122">
        <v>15.0464</v>
      </c>
      <c r="R122" s="2">
        <v>18.9526</v>
      </c>
      <c r="S122">
        <v>25.978999999999999</v>
      </c>
      <c r="T122">
        <v>0.1419</v>
      </c>
      <c r="U122">
        <v>43.480899999999998</v>
      </c>
      <c r="V122">
        <v>18975</v>
      </c>
      <c r="W122">
        <v>4.6978999999999997</v>
      </c>
    </row>
    <row r="123" spans="1:23" x14ac:dyDescent="0.3">
      <c r="A123">
        <v>2020</v>
      </c>
      <c r="B123" t="s">
        <v>39</v>
      </c>
      <c r="C123" t="s">
        <v>40</v>
      </c>
      <c r="D123">
        <v>323.24</v>
      </c>
      <c r="E123" s="1">
        <v>10918</v>
      </c>
      <c r="F123">
        <v>6768</v>
      </c>
      <c r="G123">
        <v>2796</v>
      </c>
      <c r="H123">
        <v>1.1299999999999999</v>
      </c>
      <c r="I123">
        <v>3227</v>
      </c>
      <c r="J123">
        <v>12204</v>
      </c>
      <c r="K123">
        <v>4761</v>
      </c>
      <c r="L123">
        <v>6145</v>
      </c>
      <c r="M123">
        <v>-792</v>
      </c>
      <c r="N123">
        <v>7.6738</v>
      </c>
      <c r="O123">
        <v>0.16309999999999999</v>
      </c>
      <c r="P123">
        <v>22.910499999999999</v>
      </c>
      <c r="Q123">
        <v>16.1479</v>
      </c>
      <c r="R123" s="2">
        <v>19.697099999999999</v>
      </c>
      <c r="S123">
        <v>25.609100000000002</v>
      </c>
      <c r="T123">
        <v>0.47099999999999997</v>
      </c>
      <c r="U123">
        <v>24.235099999999999</v>
      </c>
      <c r="V123">
        <v>13775</v>
      </c>
      <c r="W123">
        <v>1.2336</v>
      </c>
    </row>
    <row r="124" spans="1:23" x14ac:dyDescent="0.3">
      <c r="A124">
        <v>2019</v>
      </c>
      <c r="B124" t="s">
        <v>39</v>
      </c>
      <c r="C124" t="s">
        <v>40</v>
      </c>
      <c r="D124">
        <v>144</v>
      </c>
      <c r="E124" s="1">
        <v>11716</v>
      </c>
      <c r="F124">
        <v>7171</v>
      </c>
      <c r="G124">
        <v>4141</v>
      </c>
      <c r="H124">
        <v>1.6575</v>
      </c>
      <c r="I124">
        <v>4066</v>
      </c>
      <c r="J124">
        <v>9342</v>
      </c>
      <c r="K124">
        <v>3743</v>
      </c>
      <c r="L124">
        <v>-4097</v>
      </c>
      <c r="M124">
        <v>-2866</v>
      </c>
      <c r="N124">
        <v>7.9436</v>
      </c>
      <c r="O124">
        <v>0.21279999999999999</v>
      </c>
      <c r="P124">
        <v>44.326700000000002</v>
      </c>
      <c r="Q124">
        <v>31.1541</v>
      </c>
      <c r="R124" s="2">
        <v>36.548999999999999</v>
      </c>
      <c r="S124">
        <v>35.344799999999999</v>
      </c>
      <c r="T124">
        <v>0.1057</v>
      </c>
      <c r="U124">
        <v>47.712899999999998</v>
      </c>
      <c r="V124">
        <v>13277</v>
      </c>
      <c r="W124">
        <v>1.8122</v>
      </c>
    </row>
    <row r="125" spans="1:23" x14ac:dyDescent="0.3">
      <c r="A125">
        <v>2018</v>
      </c>
      <c r="B125" t="s">
        <v>39</v>
      </c>
      <c r="C125" t="s">
        <v>40</v>
      </c>
      <c r="D125">
        <v>81.44</v>
      </c>
      <c r="E125" s="1">
        <v>9714</v>
      </c>
      <c r="F125">
        <v>5822</v>
      </c>
      <c r="G125">
        <v>3047</v>
      </c>
      <c r="H125">
        <v>1.2050000000000001</v>
      </c>
      <c r="I125">
        <v>3409</v>
      </c>
      <c r="J125">
        <v>7471</v>
      </c>
      <c r="K125">
        <v>3502</v>
      </c>
      <c r="L125">
        <v>1278</v>
      </c>
      <c r="M125">
        <v>-2544</v>
      </c>
      <c r="N125">
        <v>8.0268999999999995</v>
      </c>
      <c r="O125">
        <v>0.26769999999999999</v>
      </c>
      <c r="P125">
        <v>40.784399999999998</v>
      </c>
      <c r="Q125">
        <v>27.106100000000001</v>
      </c>
      <c r="R125" s="2">
        <v>32.222900000000003</v>
      </c>
      <c r="S125">
        <v>31.367100000000001</v>
      </c>
      <c r="T125">
        <v>0.57250000000000001</v>
      </c>
      <c r="U125">
        <v>44.802199999999999</v>
      </c>
      <c r="V125">
        <v>11528</v>
      </c>
      <c r="W125">
        <v>2.4426000000000001</v>
      </c>
    </row>
    <row r="126" spans="1:23" x14ac:dyDescent="0.3">
      <c r="A126">
        <v>2017</v>
      </c>
      <c r="B126" t="s">
        <v>39</v>
      </c>
      <c r="C126" t="s">
        <v>40</v>
      </c>
      <c r="D126">
        <v>117.26</v>
      </c>
      <c r="E126" s="1">
        <v>6910</v>
      </c>
      <c r="F126">
        <v>4063</v>
      </c>
      <c r="G126">
        <v>1666</v>
      </c>
      <c r="H126">
        <v>0.64249999999999996</v>
      </c>
      <c r="I126">
        <v>2121</v>
      </c>
      <c r="J126">
        <v>5762</v>
      </c>
      <c r="K126">
        <v>1672</v>
      </c>
      <c r="L126">
        <v>-793</v>
      </c>
      <c r="M126">
        <v>291</v>
      </c>
      <c r="N126">
        <v>4.774</v>
      </c>
      <c r="O126">
        <v>0.48770000000000002</v>
      </c>
      <c r="P126">
        <v>28.913599999999999</v>
      </c>
      <c r="Q126">
        <v>16.929200000000002</v>
      </c>
      <c r="R126" s="2">
        <v>21.424900000000001</v>
      </c>
      <c r="S126">
        <v>24.11</v>
      </c>
      <c r="T126">
        <v>9.7500000000000003E-2</v>
      </c>
      <c r="U126">
        <v>33.055599999999998</v>
      </c>
      <c r="V126">
        <v>10299</v>
      </c>
      <c r="W126">
        <v>2.1301000000000001</v>
      </c>
    </row>
    <row r="127" spans="1:23" x14ac:dyDescent="0.3">
      <c r="A127">
        <v>2016</v>
      </c>
      <c r="B127" t="s">
        <v>39</v>
      </c>
      <c r="C127" t="s">
        <v>40</v>
      </c>
      <c r="D127">
        <v>57.53</v>
      </c>
      <c r="E127" s="1">
        <v>5010</v>
      </c>
      <c r="F127">
        <v>2811</v>
      </c>
      <c r="G127">
        <v>614</v>
      </c>
      <c r="H127">
        <v>0.27</v>
      </c>
      <c r="I127">
        <v>973</v>
      </c>
      <c r="J127">
        <v>4469</v>
      </c>
      <c r="K127">
        <v>1175</v>
      </c>
      <c r="L127">
        <v>-400</v>
      </c>
      <c r="M127">
        <v>-676</v>
      </c>
      <c r="N127">
        <v>2.5746000000000002</v>
      </c>
      <c r="O127">
        <v>0.33789999999999998</v>
      </c>
      <c r="P127">
        <v>13.739100000000001</v>
      </c>
      <c r="Q127">
        <v>8.3310999999999993</v>
      </c>
      <c r="R127" s="2">
        <v>13.4472</v>
      </c>
      <c r="S127">
        <v>12.2555</v>
      </c>
      <c r="T127">
        <v>0.124</v>
      </c>
      <c r="U127">
        <v>16.662099999999999</v>
      </c>
      <c r="V127">
        <v>9227</v>
      </c>
      <c r="W127">
        <v>1.2616000000000001</v>
      </c>
    </row>
    <row r="128" spans="1:23" x14ac:dyDescent="0.3">
      <c r="A128">
        <v>2015</v>
      </c>
      <c r="B128" t="s">
        <v>39</v>
      </c>
      <c r="C128" t="s">
        <v>40</v>
      </c>
      <c r="D128">
        <v>17.73</v>
      </c>
      <c r="E128" s="1">
        <v>4682</v>
      </c>
      <c r="F128">
        <v>2599</v>
      </c>
      <c r="G128">
        <v>631</v>
      </c>
      <c r="H128">
        <v>0.28000000000000003</v>
      </c>
      <c r="I128">
        <v>1007</v>
      </c>
      <c r="J128">
        <v>4418</v>
      </c>
      <c r="K128">
        <v>906</v>
      </c>
      <c r="L128">
        <v>-727</v>
      </c>
      <c r="M128">
        <v>-834</v>
      </c>
      <c r="N128">
        <v>6.3761000000000001</v>
      </c>
      <c r="O128">
        <v>0.31640000000000001</v>
      </c>
      <c r="P128">
        <v>14.282500000000001</v>
      </c>
      <c r="Q128">
        <v>8.7627000000000006</v>
      </c>
      <c r="R128" s="2">
        <v>10.849399999999999</v>
      </c>
      <c r="S128">
        <v>13.4772</v>
      </c>
      <c r="T128">
        <v>0.1033</v>
      </c>
      <c r="U128">
        <v>17.6356</v>
      </c>
      <c r="V128">
        <v>9228</v>
      </c>
      <c r="W128">
        <v>0.1186</v>
      </c>
    </row>
    <row r="129" spans="1:23" x14ac:dyDescent="0.3">
      <c r="A129">
        <v>2014</v>
      </c>
      <c r="B129" t="s">
        <v>39</v>
      </c>
      <c r="C129" t="s">
        <v>40</v>
      </c>
      <c r="D129">
        <v>10.9</v>
      </c>
      <c r="E129" s="1">
        <v>4130</v>
      </c>
      <c r="F129">
        <v>2268</v>
      </c>
      <c r="G129">
        <v>440</v>
      </c>
      <c r="H129">
        <v>0.185</v>
      </c>
      <c r="I129">
        <v>740</v>
      </c>
      <c r="J129">
        <v>4456.3980000000001</v>
      </c>
      <c r="K129">
        <v>835</v>
      </c>
      <c r="L129">
        <v>-806</v>
      </c>
      <c r="M129">
        <v>390</v>
      </c>
      <c r="N129">
        <v>5.9489999999999998</v>
      </c>
      <c r="O129">
        <v>0.30830000000000002</v>
      </c>
      <c r="P129">
        <v>9.8734000000000002</v>
      </c>
      <c r="Q129">
        <v>6.0682</v>
      </c>
      <c r="R129" s="2">
        <v>7.5468000000000002</v>
      </c>
      <c r="S129">
        <v>10.6538</v>
      </c>
      <c r="T129">
        <v>-2.2000000000000001E-3</v>
      </c>
      <c r="U129">
        <v>12.5099</v>
      </c>
      <c r="V129">
        <v>8808</v>
      </c>
      <c r="W129">
        <v>1.6222000000000001</v>
      </c>
    </row>
    <row r="130" spans="1:23" x14ac:dyDescent="0.3">
      <c r="A130">
        <v>2013</v>
      </c>
      <c r="B130" t="s">
        <v>39</v>
      </c>
      <c r="C130" t="s">
        <v>40</v>
      </c>
      <c r="D130">
        <v>9.11</v>
      </c>
      <c r="E130" s="1">
        <v>4280.1589999999997</v>
      </c>
      <c r="F130">
        <v>2226.3429999999998</v>
      </c>
      <c r="G130">
        <v>562.53599999999994</v>
      </c>
      <c r="H130">
        <v>0.22500000000000001</v>
      </c>
      <c r="I130">
        <v>874.4742</v>
      </c>
      <c r="J130">
        <v>4827.7030000000004</v>
      </c>
      <c r="K130">
        <v>824.17200000000003</v>
      </c>
      <c r="L130">
        <v>-743.99199999999996</v>
      </c>
      <c r="M130">
        <v>-15.27</v>
      </c>
      <c r="N130">
        <v>4.8916000000000004</v>
      </c>
      <c r="O130">
        <v>3.8999999999999998E-3</v>
      </c>
      <c r="P130">
        <v>11.6523</v>
      </c>
      <c r="Q130">
        <v>8.7728000000000002</v>
      </c>
      <c r="R130" s="2">
        <v>11.6066</v>
      </c>
      <c r="S130">
        <v>13.142899999999999</v>
      </c>
      <c r="T130">
        <v>-5.6099999999999997E-2</v>
      </c>
      <c r="U130">
        <v>14.519500000000001</v>
      </c>
      <c r="V130">
        <v>7974</v>
      </c>
      <c r="W130">
        <v>1.4648000000000001</v>
      </c>
    </row>
    <row r="131" spans="1:23" x14ac:dyDescent="0.3">
      <c r="A131">
        <v>2012</v>
      </c>
      <c r="B131" t="s">
        <v>39</v>
      </c>
      <c r="C131" t="s">
        <v>40</v>
      </c>
      <c r="D131">
        <v>7.66</v>
      </c>
      <c r="E131" s="1">
        <v>3997.93</v>
      </c>
      <c r="F131">
        <v>2056.5169999999998</v>
      </c>
      <c r="G131">
        <v>581.09</v>
      </c>
      <c r="H131">
        <v>0.23499999999999999</v>
      </c>
      <c r="I131">
        <v>852.50379999999996</v>
      </c>
      <c r="J131">
        <v>4145.7240000000002</v>
      </c>
      <c r="K131">
        <v>909.15599999999995</v>
      </c>
      <c r="L131">
        <v>-1143.364</v>
      </c>
      <c r="M131">
        <v>236.72300000000001</v>
      </c>
      <c r="N131">
        <v>4.1994999999999996</v>
      </c>
      <c r="O131">
        <v>5.1999999999999998E-3</v>
      </c>
      <c r="P131">
        <v>14.0166</v>
      </c>
      <c r="Q131">
        <v>10.464600000000001</v>
      </c>
      <c r="R131" s="2">
        <v>13.9445</v>
      </c>
      <c r="S131">
        <v>14.534800000000001</v>
      </c>
      <c r="T131">
        <v>6.7100000000000007E-2</v>
      </c>
      <c r="U131">
        <v>18.281600000000001</v>
      </c>
      <c r="V131">
        <v>7133</v>
      </c>
      <c r="W131">
        <v>2.0693000000000001</v>
      </c>
    </row>
    <row r="132" spans="1:23" x14ac:dyDescent="0.3">
      <c r="A132">
        <v>2011</v>
      </c>
      <c r="B132" t="s">
        <v>39</v>
      </c>
      <c r="C132" t="s">
        <v>40</v>
      </c>
      <c r="D132">
        <v>8.4600000000000009</v>
      </c>
      <c r="E132" s="1">
        <v>3543.3090000000002</v>
      </c>
      <c r="F132">
        <v>1409.09</v>
      </c>
      <c r="G132">
        <v>253.14599999999999</v>
      </c>
      <c r="H132">
        <v>0.1075</v>
      </c>
      <c r="I132">
        <v>442.73610000000002</v>
      </c>
      <c r="J132">
        <v>3181.462</v>
      </c>
      <c r="K132">
        <v>675.79700000000003</v>
      </c>
      <c r="L132">
        <v>-649.678</v>
      </c>
      <c r="M132">
        <v>192.02099999999999</v>
      </c>
      <c r="N132">
        <v>3.4232</v>
      </c>
      <c r="O132">
        <v>7.4000000000000003E-3</v>
      </c>
      <c r="P132">
        <v>7.9569000000000001</v>
      </c>
      <c r="Q132">
        <v>5.6314000000000002</v>
      </c>
      <c r="R132" s="2">
        <v>7.8987999999999996</v>
      </c>
      <c r="S132">
        <v>7.1443000000000003</v>
      </c>
      <c r="T132">
        <v>5.8799999999999998E-2</v>
      </c>
      <c r="U132">
        <v>10.034000000000001</v>
      </c>
      <c r="V132">
        <v>6029</v>
      </c>
      <c r="W132">
        <v>3.1568000000000001</v>
      </c>
    </row>
    <row r="133" spans="1:23" x14ac:dyDescent="0.3">
      <c r="A133">
        <v>2010</v>
      </c>
      <c r="B133" t="s">
        <v>39</v>
      </c>
      <c r="C133" t="s">
        <v>40</v>
      </c>
      <c r="D133">
        <v>8.9499999999999993</v>
      </c>
      <c r="E133" s="1">
        <v>3326.4450000000002</v>
      </c>
      <c r="F133">
        <v>1176.923</v>
      </c>
      <c r="G133">
        <v>-67.986999999999995</v>
      </c>
      <c r="H133">
        <v>-0.03</v>
      </c>
      <c r="I133">
        <v>97.718900000000005</v>
      </c>
      <c r="J133">
        <v>2665.14</v>
      </c>
      <c r="K133">
        <v>487.80700000000002</v>
      </c>
      <c r="L133">
        <v>-519.33299999999997</v>
      </c>
      <c r="M133">
        <v>61.058999999999997</v>
      </c>
      <c r="N133">
        <v>3.1627999999999998</v>
      </c>
      <c r="O133">
        <v>9.1999999999999998E-3</v>
      </c>
      <c r="P133">
        <v>-2.5510000000000002</v>
      </c>
      <c r="Q133">
        <v>-1.8958999999999999</v>
      </c>
      <c r="R133" s="2">
        <v>-2.5278</v>
      </c>
      <c r="S133">
        <v>-2.0438000000000001</v>
      </c>
      <c r="T133">
        <v>0.25879999999999997</v>
      </c>
      <c r="U133">
        <v>-3.1261000000000001</v>
      </c>
      <c r="V133">
        <v>5706</v>
      </c>
      <c r="W133">
        <v>1.64</v>
      </c>
    </row>
    <row r="134" spans="1:23" x14ac:dyDescent="0.3">
      <c r="A134">
        <v>2009</v>
      </c>
      <c r="B134" t="s">
        <v>39</v>
      </c>
      <c r="C134" t="s">
        <v>40</v>
      </c>
      <c r="D134">
        <v>10.37</v>
      </c>
      <c r="E134" s="1">
        <v>3424.8589999999999</v>
      </c>
      <c r="F134">
        <v>1174.269</v>
      </c>
      <c r="G134">
        <v>-30.041</v>
      </c>
      <c r="H134">
        <v>-1.2500000000000001E-2</v>
      </c>
      <c r="I134">
        <v>114.3228</v>
      </c>
      <c r="J134">
        <v>2394.652</v>
      </c>
      <c r="K134">
        <v>249.36</v>
      </c>
      <c r="L134">
        <v>-209.36699999999999</v>
      </c>
      <c r="M134">
        <v>-349.274</v>
      </c>
      <c r="N134">
        <v>2.7845</v>
      </c>
      <c r="O134">
        <v>1.0699999999999999E-2</v>
      </c>
      <c r="P134">
        <v>-1.2544999999999999</v>
      </c>
      <c r="Q134">
        <v>-0.89659999999999995</v>
      </c>
      <c r="R134" s="2">
        <v>-1.2412000000000001</v>
      </c>
      <c r="S134">
        <v>-0.87709999999999999</v>
      </c>
      <c r="T134">
        <v>-7.22E-2</v>
      </c>
      <c r="U134">
        <v>-1.5999000000000001</v>
      </c>
      <c r="V134">
        <v>5420</v>
      </c>
      <c r="W134">
        <v>-0.35549999999999998</v>
      </c>
    </row>
    <row r="135" spans="1:23" x14ac:dyDescent="0.3">
      <c r="A135">
        <v>2022</v>
      </c>
      <c r="B135" t="s">
        <v>41</v>
      </c>
      <c r="C135" t="s">
        <v>40</v>
      </c>
      <c r="D135">
        <v>109.08</v>
      </c>
      <c r="E135" s="1">
        <v>63054</v>
      </c>
      <c r="F135">
        <v>26866</v>
      </c>
      <c r="G135">
        <v>8014</v>
      </c>
      <c r="H135">
        <v>1.94</v>
      </c>
      <c r="I135">
        <v>15369</v>
      </c>
      <c r="J135">
        <v>103286</v>
      </c>
      <c r="K135">
        <v>15433</v>
      </c>
      <c r="L135">
        <v>-10477</v>
      </c>
      <c r="M135">
        <v>1361</v>
      </c>
      <c r="N135">
        <v>1.5676000000000001</v>
      </c>
      <c r="O135">
        <v>0.40710000000000002</v>
      </c>
      <c r="P135">
        <v>7.7618999999999998</v>
      </c>
      <c r="Q135">
        <v>4.4024999999999999</v>
      </c>
      <c r="R135" s="2">
        <v>5.6870000000000003</v>
      </c>
      <c r="S135">
        <v>12.7097</v>
      </c>
      <c r="T135">
        <v>-4.5640000000000001</v>
      </c>
      <c r="U135">
        <v>11.506</v>
      </c>
      <c r="V135">
        <v>131900</v>
      </c>
      <c r="W135">
        <v>8.0028000000000006</v>
      </c>
    </row>
    <row r="136" spans="1:23" x14ac:dyDescent="0.3">
      <c r="A136">
        <v>2021</v>
      </c>
      <c r="B136" t="s">
        <v>41</v>
      </c>
      <c r="C136" t="s">
        <v>40</v>
      </c>
      <c r="D136">
        <v>209.45</v>
      </c>
      <c r="E136" s="1">
        <v>79024</v>
      </c>
      <c r="F136">
        <v>43815</v>
      </c>
      <c r="G136">
        <v>19868</v>
      </c>
      <c r="H136">
        <v>4.8600000000000003</v>
      </c>
      <c r="I136">
        <v>31248</v>
      </c>
      <c r="J136">
        <v>95391</v>
      </c>
      <c r="K136">
        <v>29456</v>
      </c>
      <c r="L136">
        <v>-24449</v>
      </c>
      <c r="M136">
        <v>-6045</v>
      </c>
      <c r="N136">
        <v>2.1322999999999999</v>
      </c>
      <c r="O136">
        <v>0.39939999999999998</v>
      </c>
      <c r="P136">
        <v>20.827999999999999</v>
      </c>
      <c r="Q136">
        <v>11.797700000000001</v>
      </c>
      <c r="R136" s="2">
        <v>15.413399999999999</v>
      </c>
      <c r="S136">
        <v>25.1417</v>
      </c>
      <c r="T136">
        <v>-2.8277999999999999</v>
      </c>
      <c r="U136">
        <v>32.486400000000003</v>
      </c>
      <c r="V136">
        <v>121100</v>
      </c>
      <c r="W136">
        <v>4.6978999999999997</v>
      </c>
    </row>
    <row r="137" spans="1:23" x14ac:dyDescent="0.3">
      <c r="A137">
        <v>2020</v>
      </c>
      <c r="B137" t="s">
        <v>41</v>
      </c>
      <c r="C137" t="s">
        <v>40</v>
      </c>
      <c r="D137">
        <v>104.16</v>
      </c>
      <c r="E137" s="1">
        <v>77867</v>
      </c>
      <c r="F137">
        <v>43612</v>
      </c>
      <c r="G137">
        <v>20899</v>
      </c>
      <c r="H137">
        <v>4.9400000000000004</v>
      </c>
      <c r="I137">
        <v>35917</v>
      </c>
      <c r="J137">
        <v>81038</v>
      </c>
      <c r="K137">
        <v>35864</v>
      </c>
      <c r="L137">
        <v>-21524</v>
      </c>
      <c r="M137">
        <v>-12669</v>
      </c>
      <c r="N137">
        <v>1.9087000000000001</v>
      </c>
      <c r="O137">
        <v>0.44919999999999999</v>
      </c>
      <c r="P137">
        <v>25.789100000000001</v>
      </c>
      <c r="Q137">
        <v>13.651400000000001</v>
      </c>
      <c r="R137" s="2">
        <v>18.183299999999999</v>
      </c>
      <c r="S137">
        <v>26.839400000000001</v>
      </c>
      <c r="T137">
        <v>1.2739</v>
      </c>
      <c r="U137">
        <v>46.4</v>
      </c>
      <c r="V137">
        <v>110600</v>
      </c>
      <c r="W137">
        <v>1.2336</v>
      </c>
    </row>
    <row r="138" spans="1:23" x14ac:dyDescent="0.3">
      <c r="A138">
        <v>2019</v>
      </c>
      <c r="B138" t="s">
        <v>41</v>
      </c>
      <c r="C138" t="s">
        <v>40</v>
      </c>
      <c r="D138">
        <v>260.35000000000002</v>
      </c>
      <c r="E138" s="1">
        <v>71965</v>
      </c>
      <c r="F138">
        <v>42140</v>
      </c>
      <c r="G138">
        <v>21048</v>
      </c>
      <c r="H138">
        <v>4.71</v>
      </c>
      <c r="I138">
        <v>32861</v>
      </c>
      <c r="J138">
        <v>77504</v>
      </c>
      <c r="K138">
        <v>33145</v>
      </c>
      <c r="L138">
        <v>-14405</v>
      </c>
      <c r="M138">
        <v>-17565</v>
      </c>
      <c r="N138">
        <v>1.4001999999999999</v>
      </c>
      <c r="O138">
        <v>0.37419999999999998</v>
      </c>
      <c r="P138">
        <v>27.157299999999999</v>
      </c>
      <c r="Q138">
        <v>15.4171</v>
      </c>
      <c r="R138" s="2">
        <v>20.472300000000001</v>
      </c>
      <c r="S138">
        <v>29.247599999999998</v>
      </c>
      <c r="T138">
        <v>0.75390000000000001</v>
      </c>
      <c r="U138">
        <v>52.097700000000003</v>
      </c>
      <c r="V138">
        <v>110800</v>
      </c>
      <c r="W138">
        <v>1.8122</v>
      </c>
    </row>
    <row r="139" spans="1:23" x14ac:dyDescent="0.3">
      <c r="A139">
        <v>2018</v>
      </c>
      <c r="B139" t="s">
        <v>41</v>
      </c>
      <c r="C139" t="s">
        <v>40</v>
      </c>
      <c r="D139">
        <v>214.19</v>
      </c>
      <c r="E139" s="1">
        <v>70848</v>
      </c>
      <c r="F139">
        <v>43737</v>
      </c>
      <c r="G139">
        <v>21053</v>
      </c>
      <c r="H139">
        <v>4.4800000000000004</v>
      </c>
      <c r="I139">
        <v>32401</v>
      </c>
      <c r="J139">
        <v>74563</v>
      </c>
      <c r="K139">
        <v>29432</v>
      </c>
      <c r="L139">
        <v>-11239</v>
      </c>
      <c r="M139">
        <v>-18607</v>
      </c>
      <c r="N139">
        <v>1.7314000000000001</v>
      </c>
      <c r="O139">
        <v>0.35349999999999998</v>
      </c>
      <c r="P139">
        <v>28.235199999999999</v>
      </c>
      <c r="Q139">
        <v>16.452400000000001</v>
      </c>
      <c r="R139" s="2">
        <v>21.124600000000001</v>
      </c>
      <c r="S139">
        <v>29.715699999999998</v>
      </c>
      <c r="T139">
        <v>0.89459999999999995</v>
      </c>
      <c r="U139">
        <v>55.092399999999998</v>
      </c>
      <c r="V139">
        <v>107400</v>
      </c>
      <c r="W139">
        <v>2.4426000000000001</v>
      </c>
    </row>
    <row r="140" spans="1:23" x14ac:dyDescent="0.3">
      <c r="A140">
        <v>2017</v>
      </c>
      <c r="B140" t="s">
        <v>41</v>
      </c>
      <c r="C140" t="s">
        <v>40</v>
      </c>
      <c r="D140">
        <v>216.03</v>
      </c>
      <c r="E140" s="1">
        <v>62761</v>
      </c>
      <c r="F140">
        <v>39098</v>
      </c>
      <c r="G140">
        <v>9601</v>
      </c>
      <c r="H140">
        <v>1.99</v>
      </c>
      <c r="I140">
        <v>26179</v>
      </c>
      <c r="J140">
        <v>69019</v>
      </c>
      <c r="K140">
        <v>22110</v>
      </c>
      <c r="L140">
        <v>-15762</v>
      </c>
      <c r="M140">
        <v>-8475</v>
      </c>
      <c r="N140">
        <v>1.6934</v>
      </c>
      <c r="O140">
        <v>0.38850000000000001</v>
      </c>
      <c r="P140">
        <v>13.9107</v>
      </c>
      <c r="Q140">
        <v>7.7899000000000003</v>
      </c>
      <c r="R140" s="2">
        <v>10.207800000000001</v>
      </c>
      <c r="S140">
        <v>15.297700000000001</v>
      </c>
      <c r="T140">
        <v>-0.36220000000000002</v>
      </c>
      <c r="U140">
        <v>30.1113</v>
      </c>
      <c r="V140">
        <v>102700</v>
      </c>
      <c r="W140">
        <v>2.1301000000000001</v>
      </c>
    </row>
    <row r="141" spans="1:23" x14ac:dyDescent="0.3">
      <c r="A141">
        <v>2016</v>
      </c>
      <c r="B141" t="s">
        <v>41</v>
      </c>
      <c r="C141" t="s">
        <v>40</v>
      </c>
      <c r="D141">
        <v>171.88</v>
      </c>
      <c r="E141" s="1">
        <v>59387</v>
      </c>
      <c r="F141">
        <v>36233</v>
      </c>
      <c r="G141">
        <v>10316</v>
      </c>
      <c r="H141">
        <v>2.12</v>
      </c>
      <c r="I141">
        <v>20923</v>
      </c>
      <c r="J141">
        <v>66226</v>
      </c>
      <c r="K141">
        <v>21808</v>
      </c>
      <c r="L141">
        <v>-25817</v>
      </c>
      <c r="M141">
        <v>-5739</v>
      </c>
      <c r="N141">
        <v>1.7490000000000001</v>
      </c>
      <c r="O141">
        <v>0.38179999999999997</v>
      </c>
      <c r="P141">
        <v>15.577</v>
      </c>
      <c r="Q141">
        <v>9.1029</v>
      </c>
      <c r="R141" s="2">
        <v>11.874499999999999</v>
      </c>
      <c r="S141">
        <v>17.370799999999999</v>
      </c>
      <c r="T141">
        <v>0.1101</v>
      </c>
      <c r="U141">
        <v>24.197199999999999</v>
      </c>
      <c r="V141">
        <v>106000</v>
      </c>
      <c r="W141">
        <v>1.2616000000000001</v>
      </c>
    </row>
    <row r="142" spans="1:23" x14ac:dyDescent="0.3">
      <c r="A142">
        <v>2015</v>
      </c>
      <c r="B142" t="s">
        <v>41</v>
      </c>
      <c r="C142" t="s">
        <v>40</v>
      </c>
      <c r="D142">
        <v>162.57</v>
      </c>
      <c r="E142" s="1">
        <v>55355</v>
      </c>
      <c r="F142">
        <v>34679</v>
      </c>
      <c r="G142">
        <v>11420</v>
      </c>
      <c r="H142">
        <v>2.33</v>
      </c>
      <c r="I142">
        <v>22713</v>
      </c>
      <c r="J142">
        <v>61085</v>
      </c>
      <c r="K142">
        <v>19018</v>
      </c>
      <c r="L142">
        <v>-8183</v>
      </c>
      <c r="M142">
        <v>1912</v>
      </c>
      <c r="N142">
        <v>2.4491999999999998</v>
      </c>
      <c r="O142">
        <v>0.37109999999999999</v>
      </c>
      <c r="P142">
        <v>18.6953</v>
      </c>
      <c r="Q142">
        <v>11.255800000000001</v>
      </c>
      <c r="R142" s="2">
        <v>14.0777</v>
      </c>
      <c r="S142">
        <v>20.630500000000001</v>
      </c>
      <c r="T142">
        <v>0.34920000000000001</v>
      </c>
      <c r="U142">
        <v>24.9236</v>
      </c>
      <c r="V142">
        <v>107300</v>
      </c>
      <c r="W142">
        <v>0.1186</v>
      </c>
    </row>
    <row r="143" spans="1:23" x14ac:dyDescent="0.3">
      <c r="A143">
        <v>2014</v>
      </c>
      <c r="B143" t="s">
        <v>41</v>
      </c>
      <c r="C143" t="s">
        <v>40</v>
      </c>
      <c r="D143">
        <v>175.46</v>
      </c>
      <c r="E143" s="1">
        <v>55870</v>
      </c>
      <c r="F143">
        <v>35609</v>
      </c>
      <c r="G143">
        <v>11704</v>
      </c>
      <c r="H143">
        <v>2.31</v>
      </c>
      <c r="I143">
        <v>23896</v>
      </c>
      <c r="J143">
        <v>55865</v>
      </c>
      <c r="K143">
        <v>20418</v>
      </c>
      <c r="L143">
        <v>-9905</v>
      </c>
      <c r="M143">
        <v>-13611</v>
      </c>
      <c r="N143">
        <v>1.7319</v>
      </c>
      <c r="O143">
        <v>0.24440000000000001</v>
      </c>
      <c r="P143">
        <v>20.950500000000002</v>
      </c>
      <c r="Q143">
        <v>12.7356</v>
      </c>
      <c r="R143" s="2">
        <v>17.231000000000002</v>
      </c>
      <c r="S143">
        <v>20.948599999999999</v>
      </c>
      <c r="T143">
        <v>6.5100000000000005E-2</v>
      </c>
      <c r="U143">
        <v>28.857399999999998</v>
      </c>
      <c r="V143">
        <v>106700</v>
      </c>
      <c r="W143">
        <v>1.6222000000000001</v>
      </c>
    </row>
    <row r="144" spans="1:23" x14ac:dyDescent="0.3">
      <c r="A144">
        <v>2013</v>
      </c>
      <c r="B144" t="s">
        <v>41</v>
      </c>
      <c r="C144" t="s">
        <v>40</v>
      </c>
      <c r="D144">
        <v>129.02000000000001</v>
      </c>
      <c r="E144" s="1">
        <v>52708</v>
      </c>
      <c r="F144">
        <v>31521</v>
      </c>
      <c r="G144">
        <v>9620</v>
      </c>
      <c r="H144">
        <v>1.89</v>
      </c>
      <c r="I144">
        <v>20323</v>
      </c>
      <c r="J144">
        <v>58256</v>
      </c>
      <c r="K144">
        <v>20776</v>
      </c>
      <c r="L144">
        <v>-18073</v>
      </c>
      <c r="M144">
        <v>-5498</v>
      </c>
      <c r="N144">
        <v>2.3647</v>
      </c>
      <c r="O144">
        <v>0.23080000000000001</v>
      </c>
      <c r="P144">
        <v>16.513300000000001</v>
      </c>
      <c r="Q144">
        <v>10.416</v>
      </c>
      <c r="R144" s="2">
        <v>13.4694</v>
      </c>
      <c r="S144">
        <v>18.2515</v>
      </c>
      <c r="T144">
        <v>0.45200000000000001</v>
      </c>
      <c r="U144">
        <v>22.585899999999999</v>
      </c>
      <c r="V144">
        <v>107600</v>
      </c>
      <c r="W144">
        <v>1.4648000000000001</v>
      </c>
    </row>
    <row r="145" spans="1:23" x14ac:dyDescent="0.3">
      <c r="A145">
        <v>2012</v>
      </c>
      <c r="B145" t="s">
        <v>41</v>
      </c>
      <c r="C145" t="s">
        <v>40</v>
      </c>
      <c r="D145">
        <v>102.61</v>
      </c>
      <c r="E145" s="1">
        <v>53341</v>
      </c>
      <c r="F145">
        <v>33151</v>
      </c>
      <c r="G145">
        <v>11005</v>
      </c>
      <c r="H145">
        <v>2.13</v>
      </c>
      <c r="I145">
        <v>22160</v>
      </c>
      <c r="J145">
        <v>51203</v>
      </c>
      <c r="K145">
        <v>18884</v>
      </c>
      <c r="L145">
        <v>-14060</v>
      </c>
      <c r="M145">
        <v>-1408</v>
      </c>
      <c r="N145">
        <v>2.4312</v>
      </c>
      <c r="O145">
        <v>0.2626</v>
      </c>
      <c r="P145">
        <v>21.492899999999999</v>
      </c>
      <c r="Q145">
        <v>13.0467</v>
      </c>
      <c r="R145" s="2">
        <v>17.104700000000001</v>
      </c>
      <c r="S145">
        <v>20.631399999999999</v>
      </c>
      <c r="T145">
        <v>-0.36220000000000002</v>
      </c>
      <c r="U145">
        <v>31.212800000000001</v>
      </c>
      <c r="V145">
        <v>105000</v>
      </c>
      <c r="W145">
        <v>2.0693000000000001</v>
      </c>
    </row>
    <row r="146" spans="1:23" x14ac:dyDescent="0.3">
      <c r="A146">
        <v>2011</v>
      </c>
      <c r="B146" t="s">
        <v>41</v>
      </c>
      <c r="C146" t="s">
        <v>40</v>
      </c>
      <c r="D146">
        <v>123.48</v>
      </c>
      <c r="E146" s="1">
        <v>53999</v>
      </c>
      <c r="F146">
        <v>33757</v>
      </c>
      <c r="G146">
        <v>12942</v>
      </c>
      <c r="H146">
        <v>2.39</v>
      </c>
      <c r="I146">
        <v>23541</v>
      </c>
      <c r="J146">
        <v>45911</v>
      </c>
      <c r="K146">
        <v>20963</v>
      </c>
      <c r="L146">
        <v>-10301</v>
      </c>
      <c r="M146">
        <v>-11100</v>
      </c>
      <c r="N146">
        <v>2.1509999999999998</v>
      </c>
      <c r="O146">
        <v>0.15970000000000001</v>
      </c>
      <c r="P146">
        <v>28.189299999999999</v>
      </c>
      <c r="Q146">
        <v>18.197700000000001</v>
      </c>
      <c r="R146" s="2">
        <v>24.421199999999999</v>
      </c>
      <c r="S146">
        <v>23.967099999999999</v>
      </c>
      <c r="T146">
        <v>-0.13139999999999999</v>
      </c>
      <c r="U146">
        <v>42.586399999999998</v>
      </c>
      <c r="V146">
        <v>100100</v>
      </c>
      <c r="W146">
        <v>3.1568000000000001</v>
      </c>
    </row>
    <row r="147" spans="1:23" x14ac:dyDescent="0.3">
      <c r="A147">
        <v>2010</v>
      </c>
      <c r="B147" t="s">
        <v>41</v>
      </c>
      <c r="C147" t="s">
        <v>40</v>
      </c>
      <c r="D147">
        <v>117.31</v>
      </c>
      <c r="E147" s="1">
        <v>43623</v>
      </c>
      <c r="F147">
        <v>28491</v>
      </c>
      <c r="G147">
        <v>11464</v>
      </c>
      <c r="H147">
        <v>2.0099999999999998</v>
      </c>
      <c r="I147">
        <v>20226</v>
      </c>
      <c r="J147">
        <v>49430</v>
      </c>
      <c r="K147">
        <v>16692</v>
      </c>
      <c r="L147">
        <v>-10539</v>
      </c>
      <c r="M147">
        <v>-4642</v>
      </c>
      <c r="N147">
        <v>3.3892000000000002</v>
      </c>
      <c r="O147">
        <v>4.2799999999999998E-2</v>
      </c>
      <c r="P147">
        <v>23.192399999999999</v>
      </c>
      <c r="Q147">
        <v>18.1433</v>
      </c>
      <c r="R147" s="2">
        <v>22.257200000000001</v>
      </c>
      <c r="S147">
        <v>26.279699999999998</v>
      </c>
      <c r="T147">
        <v>0.83740000000000003</v>
      </c>
      <c r="U147">
        <v>26.031500000000001</v>
      </c>
      <c r="V147">
        <v>82500</v>
      </c>
      <c r="W147">
        <v>1.64</v>
      </c>
    </row>
    <row r="148" spans="1:23" x14ac:dyDescent="0.3">
      <c r="A148">
        <v>2009</v>
      </c>
      <c r="B148" t="s">
        <v>41</v>
      </c>
      <c r="C148" t="s">
        <v>40</v>
      </c>
      <c r="D148">
        <v>112.65</v>
      </c>
      <c r="E148" s="1">
        <v>35127</v>
      </c>
      <c r="F148">
        <v>19561</v>
      </c>
      <c r="G148">
        <v>4369</v>
      </c>
      <c r="H148">
        <v>0.77</v>
      </c>
      <c r="I148">
        <v>10763</v>
      </c>
      <c r="J148">
        <v>41704</v>
      </c>
      <c r="K148">
        <v>11170</v>
      </c>
      <c r="L148">
        <v>-7965</v>
      </c>
      <c r="M148">
        <v>-2568</v>
      </c>
      <c r="N148">
        <v>2.7871000000000001</v>
      </c>
      <c r="O148">
        <v>5.33E-2</v>
      </c>
      <c r="P148">
        <v>10.4762</v>
      </c>
      <c r="Q148">
        <v>8.2286000000000001</v>
      </c>
      <c r="R148" s="2">
        <v>9.9855999999999998</v>
      </c>
      <c r="S148">
        <v>12.4377</v>
      </c>
      <c r="T148">
        <v>1.1789000000000001</v>
      </c>
      <c r="U148">
        <v>11.718500000000001</v>
      </c>
      <c r="V148">
        <v>79800</v>
      </c>
      <c r="W148">
        <v>-0.35549999999999998</v>
      </c>
    </row>
    <row r="149" spans="1:23" x14ac:dyDescent="0.3">
      <c r="A149">
        <v>2022</v>
      </c>
      <c r="B149" t="s">
        <v>42</v>
      </c>
      <c r="C149" t="s">
        <v>43</v>
      </c>
      <c r="D149">
        <v>856.94</v>
      </c>
      <c r="E149" s="1">
        <v>513983</v>
      </c>
      <c r="F149">
        <v>225152</v>
      </c>
      <c r="G149">
        <v>-2722</v>
      </c>
      <c r="H149">
        <v>-0.27</v>
      </c>
      <c r="I149">
        <v>54169</v>
      </c>
      <c r="J149">
        <v>146043</v>
      </c>
      <c r="K149">
        <v>46752</v>
      </c>
      <c r="L149">
        <v>-37601</v>
      </c>
      <c r="M149">
        <v>9718</v>
      </c>
      <c r="N149">
        <v>0.9446</v>
      </c>
      <c r="O149">
        <v>0.45979999999999999</v>
      </c>
      <c r="P149">
        <v>-1.8637999999999999</v>
      </c>
      <c r="Q149">
        <v>-0.58830000000000005</v>
      </c>
      <c r="R149" s="2">
        <v>-1.2767999999999999</v>
      </c>
      <c r="S149">
        <v>-0.52959999999999996</v>
      </c>
      <c r="T149">
        <v>-0.25459999999999999</v>
      </c>
      <c r="U149">
        <v>-2.1644999999999999</v>
      </c>
      <c r="V149">
        <v>1541000</v>
      </c>
      <c r="W149">
        <v>8.0028000000000006</v>
      </c>
    </row>
    <row r="150" spans="1:23" x14ac:dyDescent="0.3">
      <c r="A150">
        <v>2021</v>
      </c>
      <c r="B150" t="s">
        <v>42</v>
      </c>
      <c r="C150" t="s">
        <v>43</v>
      </c>
      <c r="D150">
        <v>1691</v>
      </c>
      <c r="E150" s="1">
        <v>469822</v>
      </c>
      <c r="F150">
        <v>197478</v>
      </c>
      <c r="G150">
        <v>33364</v>
      </c>
      <c r="H150">
        <v>3.24</v>
      </c>
      <c r="I150">
        <v>59312</v>
      </c>
      <c r="J150">
        <v>138245</v>
      </c>
      <c r="K150">
        <v>46327</v>
      </c>
      <c r="L150">
        <v>-58154</v>
      </c>
      <c r="M150">
        <v>6291</v>
      </c>
      <c r="N150">
        <v>1.1357999999999999</v>
      </c>
      <c r="O150">
        <v>0.35260000000000002</v>
      </c>
      <c r="P150">
        <v>24.134</v>
      </c>
      <c r="Q150">
        <v>7.9333999999999998</v>
      </c>
      <c r="R150" s="2">
        <v>17.8428</v>
      </c>
      <c r="S150">
        <v>7.1013999999999999</v>
      </c>
      <c r="T150">
        <v>-3.9226000000000001</v>
      </c>
      <c r="U150">
        <v>27.152999999999999</v>
      </c>
      <c r="V150">
        <v>1608000</v>
      </c>
      <c r="W150">
        <v>4.6978999999999997</v>
      </c>
    </row>
    <row r="151" spans="1:23" x14ac:dyDescent="0.3">
      <c r="A151">
        <v>2020</v>
      </c>
      <c r="B151" t="s">
        <v>42</v>
      </c>
      <c r="C151" t="s">
        <v>43</v>
      </c>
      <c r="D151">
        <v>1634.16</v>
      </c>
      <c r="E151" s="1">
        <v>386064</v>
      </c>
      <c r="F151">
        <v>152757</v>
      </c>
      <c r="G151">
        <v>21331</v>
      </c>
      <c r="H151">
        <v>2.09</v>
      </c>
      <c r="I151">
        <v>48079</v>
      </c>
      <c r="J151">
        <v>93404</v>
      </c>
      <c r="K151">
        <v>66064</v>
      </c>
      <c r="L151">
        <v>-59611</v>
      </c>
      <c r="M151">
        <v>-1104</v>
      </c>
      <c r="N151">
        <v>1.0502</v>
      </c>
      <c r="O151">
        <v>0.34060000000000001</v>
      </c>
      <c r="P151">
        <v>22.837399999999999</v>
      </c>
      <c r="Q151">
        <v>6.6410999999999998</v>
      </c>
      <c r="R151" s="2">
        <v>17.034800000000001</v>
      </c>
      <c r="S151">
        <v>5.5251999999999999</v>
      </c>
      <c r="T151">
        <v>0.4798</v>
      </c>
      <c r="U151">
        <v>27.212399999999999</v>
      </c>
      <c r="V151">
        <v>1298000</v>
      </c>
      <c r="W151">
        <v>1.2336</v>
      </c>
    </row>
    <row r="152" spans="1:23" x14ac:dyDescent="0.3">
      <c r="A152">
        <v>2019</v>
      </c>
      <c r="B152" t="s">
        <v>42</v>
      </c>
      <c r="C152" t="s">
        <v>43</v>
      </c>
      <c r="D152">
        <v>916.15</v>
      </c>
      <c r="E152" s="1">
        <v>280522</v>
      </c>
      <c r="F152">
        <v>114986</v>
      </c>
      <c r="G152">
        <v>11588</v>
      </c>
      <c r="H152">
        <v>1.1505000000000001</v>
      </c>
      <c r="I152">
        <v>36330</v>
      </c>
      <c r="J152">
        <v>62060</v>
      </c>
      <c r="K152">
        <v>38514</v>
      </c>
      <c r="L152">
        <v>-24281</v>
      </c>
      <c r="M152">
        <v>-10066</v>
      </c>
      <c r="N152">
        <v>1.097</v>
      </c>
      <c r="O152">
        <v>0.37730000000000002</v>
      </c>
      <c r="P152">
        <v>18.6723</v>
      </c>
      <c r="Q152">
        <v>5.1445999999999996</v>
      </c>
      <c r="R152" s="2">
        <v>13.5573</v>
      </c>
      <c r="S152">
        <v>4.1308999999999996</v>
      </c>
      <c r="T152">
        <v>0.622</v>
      </c>
      <c r="U152">
        <v>24.495799999999999</v>
      </c>
      <c r="V152">
        <v>798000</v>
      </c>
      <c r="W152">
        <v>1.8122</v>
      </c>
    </row>
    <row r="153" spans="1:23" x14ac:dyDescent="0.3">
      <c r="A153">
        <v>2018</v>
      </c>
      <c r="B153" t="s">
        <v>42</v>
      </c>
      <c r="C153" t="s">
        <v>43</v>
      </c>
      <c r="D153">
        <v>734.42</v>
      </c>
      <c r="E153" s="1">
        <v>232887</v>
      </c>
      <c r="F153">
        <v>93731</v>
      </c>
      <c r="G153">
        <v>10073</v>
      </c>
      <c r="H153">
        <v>1.0069999999999999</v>
      </c>
      <c r="I153">
        <v>27762</v>
      </c>
      <c r="J153">
        <v>43549</v>
      </c>
      <c r="K153">
        <v>30723</v>
      </c>
      <c r="L153">
        <v>-12369</v>
      </c>
      <c r="M153">
        <v>-7686</v>
      </c>
      <c r="N153">
        <v>1.0981000000000001</v>
      </c>
      <c r="O153">
        <v>0.53949999999999998</v>
      </c>
      <c r="P153">
        <v>23.130299999999998</v>
      </c>
      <c r="Q153">
        <v>6.1931000000000003</v>
      </c>
      <c r="R153" s="2">
        <v>15.0245</v>
      </c>
      <c r="S153">
        <v>4.3253000000000004</v>
      </c>
      <c r="T153">
        <v>1.0974999999999999</v>
      </c>
      <c r="U153">
        <v>34.7333</v>
      </c>
      <c r="V153">
        <v>647500</v>
      </c>
      <c r="W153">
        <v>2.4426000000000001</v>
      </c>
    </row>
    <row r="154" spans="1:23" x14ac:dyDescent="0.3">
      <c r="A154">
        <v>2017</v>
      </c>
      <c r="B154" t="s">
        <v>42</v>
      </c>
      <c r="C154" t="s">
        <v>43</v>
      </c>
      <c r="D154">
        <v>563.54</v>
      </c>
      <c r="E154" s="1">
        <v>177866</v>
      </c>
      <c r="F154">
        <v>65932</v>
      </c>
      <c r="G154">
        <v>3033</v>
      </c>
      <c r="H154">
        <v>0.3075</v>
      </c>
      <c r="I154">
        <v>15584</v>
      </c>
      <c r="J154">
        <v>27709</v>
      </c>
      <c r="K154">
        <v>18365</v>
      </c>
      <c r="L154">
        <v>-27084</v>
      </c>
      <c r="M154">
        <v>9928</v>
      </c>
      <c r="N154">
        <v>1.04</v>
      </c>
      <c r="O154">
        <v>0.89300000000000002</v>
      </c>
      <c r="P154">
        <v>10.9459</v>
      </c>
      <c r="Q154">
        <v>2.3098000000000001</v>
      </c>
      <c r="R154" s="2">
        <v>5.7824</v>
      </c>
      <c r="S154">
        <v>1.7052</v>
      </c>
      <c r="T154">
        <v>-0.2387</v>
      </c>
      <c r="U154">
        <v>21.122599999999998</v>
      </c>
      <c r="V154">
        <v>566000</v>
      </c>
      <c r="W154">
        <v>2.1301000000000001</v>
      </c>
    </row>
    <row r="155" spans="1:23" x14ac:dyDescent="0.3">
      <c r="A155">
        <v>2016</v>
      </c>
      <c r="B155" t="s">
        <v>42</v>
      </c>
      <c r="C155" t="s">
        <v>43</v>
      </c>
      <c r="D155">
        <v>356.31</v>
      </c>
      <c r="E155" s="1">
        <v>135987</v>
      </c>
      <c r="F155">
        <v>47722</v>
      </c>
      <c r="G155">
        <v>2371</v>
      </c>
      <c r="H155">
        <v>0.245</v>
      </c>
      <c r="I155">
        <v>12302</v>
      </c>
      <c r="J155">
        <v>19285</v>
      </c>
      <c r="K155">
        <v>17203</v>
      </c>
      <c r="L155">
        <v>-9516</v>
      </c>
      <c r="M155">
        <v>-3716</v>
      </c>
      <c r="N155">
        <v>1.0448</v>
      </c>
      <c r="O155">
        <v>0.39900000000000002</v>
      </c>
      <c r="P155">
        <v>12.294499999999999</v>
      </c>
      <c r="Q155">
        <v>2.8429000000000002</v>
      </c>
      <c r="R155" s="2">
        <v>8.7882999999999996</v>
      </c>
      <c r="S155">
        <v>1.7435</v>
      </c>
      <c r="T155">
        <v>0.30030000000000001</v>
      </c>
      <c r="U155">
        <v>15.2958</v>
      </c>
      <c r="V155">
        <v>341400</v>
      </c>
      <c r="W155">
        <v>1.2616000000000001</v>
      </c>
    </row>
    <row r="156" spans="1:23" x14ac:dyDescent="0.3">
      <c r="A156">
        <v>2015</v>
      </c>
      <c r="B156" t="s">
        <v>42</v>
      </c>
      <c r="C156" t="s">
        <v>43</v>
      </c>
      <c r="D156">
        <v>316.83</v>
      </c>
      <c r="E156" s="1">
        <v>107006</v>
      </c>
      <c r="F156">
        <v>35355</v>
      </c>
      <c r="G156">
        <v>596</v>
      </c>
      <c r="H156">
        <v>6.25E-2</v>
      </c>
      <c r="I156">
        <v>8514</v>
      </c>
      <c r="J156">
        <v>13384</v>
      </c>
      <c r="K156">
        <v>12039</v>
      </c>
      <c r="L156">
        <v>-6450</v>
      </c>
      <c r="M156">
        <v>-3882</v>
      </c>
      <c r="N156">
        <v>1.0536000000000001</v>
      </c>
      <c r="O156">
        <v>0.61470000000000002</v>
      </c>
      <c r="P156">
        <v>4.4531000000000001</v>
      </c>
      <c r="Q156">
        <v>0.92049999999999998</v>
      </c>
      <c r="R156" s="2">
        <v>2.7578999999999998</v>
      </c>
      <c r="S156">
        <v>0.55700000000000005</v>
      </c>
      <c r="T156">
        <v>0.56999999999999995</v>
      </c>
      <c r="U156">
        <v>6.1921999999999997</v>
      </c>
      <c r="V156">
        <v>230800</v>
      </c>
      <c r="W156">
        <v>0.1186</v>
      </c>
    </row>
    <row r="157" spans="1:23" x14ac:dyDescent="0.3">
      <c r="A157">
        <v>2014</v>
      </c>
      <c r="B157" t="s">
        <v>42</v>
      </c>
      <c r="C157" t="s">
        <v>43</v>
      </c>
      <c r="D157">
        <v>143.69999999999999</v>
      </c>
      <c r="E157" s="1">
        <v>88988</v>
      </c>
      <c r="F157">
        <v>26236</v>
      </c>
      <c r="G157">
        <v>-241</v>
      </c>
      <c r="H157">
        <v>-2.5999999999999999E-2</v>
      </c>
      <c r="I157">
        <v>4924</v>
      </c>
      <c r="J157">
        <v>10741</v>
      </c>
      <c r="K157">
        <v>6842</v>
      </c>
      <c r="L157">
        <v>-5065</v>
      </c>
      <c r="M157">
        <v>4432</v>
      </c>
      <c r="N157">
        <v>1.1153</v>
      </c>
      <c r="O157">
        <v>0.76949999999999996</v>
      </c>
      <c r="P157">
        <v>-2.2437</v>
      </c>
      <c r="Q157">
        <v>-0.44219999999999998</v>
      </c>
      <c r="R157" s="2">
        <v>-1.268</v>
      </c>
      <c r="S157">
        <v>-0.27079999999999999</v>
      </c>
      <c r="T157">
        <v>-7.4999999999999997E-3</v>
      </c>
      <c r="U157">
        <v>-3.2471000000000001</v>
      </c>
      <c r="V157">
        <v>154100</v>
      </c>
      <c r="W157">
        <v>1.6222000000000001</v>
      </c>
    </row>
    <row r="158" spans="1:23" x14ac:dyDescent="0.3">
      <c r="A158">
        <v>2013</v>
      </c>
      <c r="B158" t="s">
        <v>42</v>
      </c>
      <c r="C158" t="s">
        <v>43</v>
      </c>
      <c r="D158">
        <v>182.54</v>
      </c>
      <c r="E158" s="1">
        <v>74452</v>
      </c>
      <c r="F158">
        <v>20271</v>
      </c>
      <c r="G158">
        <v>274</v>
      </c>
      <c r="H158">
        <v>2.9499999999999998E-2</v>
      </c>
      <c r="I158">
        <v>3998</v>
      </c>
      <c r="J158">
        <v>9746</v>
      </c>
      <c r="K158">
        <v>5475</v>
      </c>
      <c r="L158">
        <v>-4276</v>
      </c>
      <c r="M158">
        <v>-539</v>
      </c>
      <c r="N158">
        <v>1.0716000000000001</v>
      </c>
      <c r="O158">
        <v>0.32740000000000002</v>
      </c>
      <c r="P158">
        <v>2.8113999999999999</v>
      </c>
      <c r="Q158">
        <v>0.68230000000000002</v>
      </c>
      <c r="R158" s="2">
        <v>2.1179999999999999</v>
      </c>
      <c r="S158">
        <v>0.36799999999999999</v>
      </c>
      <c r="T158">
        <v>0.17480000000000001</v>
      </c>
      <c r="U158">
        <v>3.8641000000000001</v>
      </c>
      <c r="V158">
        <v>117300</v>
      </c>
      <c r="W158">
        <v>1.4648000000000001</v>
      </c>
    </row>
    <row r="159" spans="1:23" x14ac:dyDescent="0.3">
      <c r="A159">
        <v>2012</v>
      </c>
      <c r="B159" t="s">
        <v>42</v>
      </c>
      <c r="C159" t="s">
        <v>43</v>
      </c>
      <c r="D159">
        <v>113.63</v>
      </c>
      <c r="E159" s="1">
        <v>61093</v>
      </c>
      <c r="F159">
        <v>15122</v>
      </c>
      <c r="G159">
        <v>-39</v>
      </c>
      <c r="H159">
        <v>-4.4999999999999997E-3</v>
      </c>
      <c r="I159">
        <v>2835</v>
      </c>
      <c r="J159">
        <v>8192</v>
      </c>
      <c r="K159">
        <v>4180</v>
      </c>
      <c r="L159">
        <v>-3595</v>
      </c>
      <c r="M159">
        <v>2259</v>
      </c>
      <c r="N159">
        <v>1.1207</v>
      </c>
      <c r="O159">
        <v>0.3765</v>
      </c>
      <c r="P159">
        <v>-0.47610000000000002</v>
      </c>
      <c r="Q159">
        <v>-0.1198</v>
      </c>
      <c r="R159" s="2">
        <v>-0.34589999999999999</v>
      </c>
      <c r="S159">
        <v>-6.3799999999999996E-2</v>
      </c>
      <c r="T159">
        <v>-0.18329999999999999</v>
      </c>
      <c r="U159">
        <v>-0.6915</v>
      </c>
      <c r="V159">
        <v>88400</v>
      </c>
      <c r="W159">
        <v>2.0693000000000001</v>
      </c>
    </row>
    <row r="160" spans="1:23" x14ac:dyDescent="0.3">
      <c r="A160">
        <v>2011</v>
      </c>
      <c r="B160" t="s">
        <v>42</v>
      </c>
      <c r="C160" t="s">
        <v>43</v>
      </c>
      <c r="D160">
        <v>78.72</v>
      </c>
      <c r="E160" s="1">
        <v>48077</v>
      </c>
      <c r="F160">
        <v>10789</v>
      </c>
      <c r="G160">
        <v>631</v>
      </c>
      <c r="H160">
        <v>6.8500000000000005E-2</v>
      </c>
      <c r="I160">
        <v>1945</v>
      </c>
      <c r="J160">
        <v>7757</v>
      </c>
      <c r="K160">
        <v>3903</v>
      </c>
      <c r="L160">
        <v>-1930</v>
      </c>
      <c r="M160">
        <v>-482</v>
      </c>
      <c r="N160">
        <v>1.1740999999999999</v>
      </c>
      <c r="O160">
        <v>3.2899999999999999E-2</v>
      </c>
      <c r="P160">
        <v>8.1346000000000007</v>
      </c>
      <c r="Q160">
        <v>2.4962</v>
      </c>
      <c r="R160" s="2">
        <v>7.8757000000000001</v>
      </c>
      <c r="S160">
        <v>1.3125</v>
      </c>
      <c r="T160">
        <v>-4.9000000000000002E-2</v>
      </c>
      <c r="U160">
        <v>10.8756</v>
      </c>
      <c r="V160">
        <v>56200</v>
      </c>
      <c r="W160">
        <v>3.1568000000000001</v>
      </c>
    </row>
    <row r="161" spans="1:23" x14ac:dyDescent="0.3">
      <c r="A161">
        <v>2010</v>
      </c>
      <c r="B161" t="s">
        <v>42</v>
      </c>
      <c r="C161" t="s">
        <v>43</v>
      </c>
      <c r="D161">
        <v>80.790000000000006</v>
      </c>
      <c r="E161" s="1">
        <v>34204</v>
      </c>
      <c r="F161">
        <v>7643</v>
      </c>
      <c r="G161">
        <v>1152</v>
      </c>
      <c r="H161">
        <v>0.1265</v>
      </c>
      <c r="I161">
        <v>1974</v>
      </c>
      <c r="J161">
        <v>6864</v>
      </c>
      <c r="K161">
        <v>3495</v>
      </c>
      <c r="L161">
        <v>-3360</v>
      </c>
      <c r="M161">
        <v>181</v>
      </c>
      <c r="N161">
        <v>1.3253999999999999</v>
      </c>
      <c r="O161">
        <v>0.22739999999999999</v>
      </c>
      <c r="P161">
        <v>16.783200000000001</v>
      </c>
      <c r="Q161">
        <v>6.1285999999999996</v>
      </c>
      <c r="R161" s="2">
        <v>13.6736</v>
      </c>
      <c r="S161">
        <v>3.3679999999999999</v>
      </c>
      <c r="T161">
        <v>-5.4399999999999997E-2</v>
      </c>
      <c r="U161">
        <v>20.888500000000001</v>
      </c>
      <c r="V161">
        <v>33700</v>
      </c>
      <c r="W161">
        <v>1.64</v>
      </c>
    </row>
    <row r="162" spans="1:23" x14ac:dyDescent="0.3">
      <c r="A162">
        <v>2009</v>
      </c>
      <c r="B162" t="s">
        <v>42</v>
      </c>
      <c r="C162" t="s">
        <v>43</v>
      </c>
      <c r="D162">
        <v>58.24</v>
      </c>
      <c r="E162" s="1">
        <v>24509</v>
      </c>
      <c r="F162">
        <v>5531</v>
      </c>
      <c r="G162">
        <v>902</v>
      </c>
      <c r="H162">
        <v>0.10199999999999999</v>
      </c>
      <c r="I162">
        <v>1507</v>
      </c>
      <c r="J162">
        <v>5257</v>
      </c>
      <c r="K162">
        <v>3293</v>
      </c>
      <c r="L162">
        <v>-2337</v>
      </c>
      <c r="M162">
        <v>-280</v>
      </c>
      <c r="N162">
        <v>1.3304</v>
      </c>
      <c r="O162">
        <v>0.20069999999999999</v>
      </c>
      <c r="P162">
        <v>17.158100000000001</v>
      </c>
      <c r="Q162">
        <v>6.5301</v>
      </c>
      <c r="R162" s="2">
        <v>17.158100000000001</v>
      </c>
      <c r="S162">
        <v>3.6802999999999999</v>
      </c>
      <c r="T162">
        <v>0.33029999999999998</v>
      </c>
      <c r="U162">
        <v>22.421099999999999</v>
      </c>
      <c r="V162">
        <v>24300</v>
      </c>
      <c r="W162">
        <v>-0.35549999999999998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90359-859B-4C9D-8D47-E80782D14575}">
  <dimension ref="A1:AF162"/>
  <sheetViews>
    <sheetView workbookViewId="0">
      <selection sqref="A1:Z162"/>
    </sheetView>
  </sheetViews>
  <sheetFormatPr defaultRowHeight="14.4" x14ac:dyDescent="0.3"/>
  <cols>
    <col min="1" max="1" width="5" bestFit="1" customWidth="1"/>
    <col min="2" max="2" width="9.109375" bestFit="1" customWidth="1"/>
    <col min="3" max="3" width="12.88671875" bestFit="1" customWidth="1"/>
    <col min="4" max="4" width="18.6640625" bestFit="1" customWidth="1"/>
    <col min="5" max="5" width="8" bestFit="1" customWidth="1"/>
    <col min="6" max="7" width="10.5546875" bestFit="1" customWidth="1"/>
    <col min="8" max="8" width="15.21875" bestFit="1" customWidth="1"/>
    <col min="9" max="9" width="7.44140625" bestFit="1" customWidth="1"/>
    <col min="10" max="10" width="17" bestFit="1" customWidth="1"/>
    <col min="11" max="11" width="22.44140625" bestFit="1" customWidth="1"/>
    <col min="12" max="12" width="21.6640625" bestFit="1" customWidth="1"/>
    <col min="13" max="13" width="29.5546875" bestFit="1" customWidth="1"/>
    <col min="14" max="14" width="11.88671875" bestFit="1" customWidth="1"/>
    <col min="15" max="15" width="15.5546875" bestFit="1" customWidth="1"/>
    <col min="16" max="16" width="7.88671875" bestFit="1" customWidth="1"/>
    <col min="17" max="17" width="6.88671875" bestFit="1" customWidth="1"/>
    <col min="18" max="18" width="7.21875" bestFit="1" customWidth="1"/>
    <col min="19" max="19" width="15.21875" bestFit="1" customWidth="1"/>
    <col min="20" max="20" width="21.6640625" bestFit="1" customWidth="1"/>
    <col min="21" max="21" width="22" bestFit="1" customWidth="1"/>
    <col min="22" max="22" width="19.21875" bestFit="1" customWidth="1"/>
    <col min="23" max="23" width="17.5546875" bestFit="1" customWidth="1"/>
    <col min="24" max="24" width="7.44140625" bestFit="1" customWidth="1"/>
    <col min="25" max="25" width="11" bestFit="1" customWidth="1"/>
    <col min="26" max="26" width="9" bestFit="1" customWidth="1"/>
  </cols>
  <sheetData>
    <row r="1" spans="1:32" ht="18" customHeight="1" x14ac:dyDescent="0.3">
      <c r="A1" s="11" t="s">
        <v>0</v>
      </c>
      <c r="B1" s="11" t="s">
        <v>1</v>
      </c>
      <c r="C1" s="11" t="s">
        <v>2</v>
      </c>
      <c r="D1" s="12" t="s">
        <v>3</v>
      </c>
      <c r="E1" s="13" t="s">
        <v>4</v>
      </c>
      <c r="F1" s="14" t="s">
        <v>5</v>
      </c>
      <c r="G1" s="14" t="s">
        <v>6</v>
      </c>
      <c r="H1" s="12" t="s">
        <v>7</v>
      </c>
      <c r="I1" s="14" t="s">
        <v>8</v>
      </c>
      <c r="J1" s="14" t="s">
        <v>9</v>
      </c>
      <c r="K1" s="14" t="s">
        <v>10</v>
      </c>
      <c r="L1" s="14" t="s">
        <v>11</v>
      </c>
      <c r="M1" s="14" t="s">
        <v>12</v>
      </c>
      <c r="N1" s="12" t="s">
        <v>13</v>
      </c>
      <c r="O1" s="12" t="s">
        <v>14</v>
      </c>
      <c r="P1" s="15" t="s">
        <v>15</v>
      </c>
      <c r="Q1" s="15" t="s">
        <v>16</v>
      </c>
      <c r="R1" s="16" t="s">
        <v>17</v>
      </c>
      <c r="S1" s="12" t="s">
        <v>18</v>
      </c>
      <c r="T1" s="12" t="s">
        <v>19</v>
      </c>
      <c r="U1" s="12" t="s">
        <v>20</v>
      </c>
      <c r="V1" s="14" t="s">
        <v>21</v>
      </c>
      <c r="W1" s="12" t="s">
        <v>22</v>
      </c>
      <c r="X1" s="14" t="s">
        <v>44</v>
      </c>
      <c r="Y1" s="14" t="s">
        <v>45</v>
      </c>
      <c r="Z1" s="14" t="s">
        <v>46</v>
      </c>
      <c r="AB1" s="8" t="s">
        <v>49</v>
      </c>
      <c r="AC1" s="9"/>
    </row>
    <row r="2" spans="1:32" x14ac:dyDescent="0.3">
      <c r="A2">
        <v>2022</v>
      </c>
      <c r="B2" t="s">
        <v>23</v>
      </c>
      <c r="C2" t="s">
        <v>24</v>
      </c>
      <c r="D2" s="5">
        <v>2066.94</v>
      </c>
      <c r="E2" s="3">
        <v>394328</v>
      </c>
      <c r="F2" s="4">
        <v>170782</v>
      </c>
      <c r="G2" s="4">
        <v>99803</v>
      </c>
      <c r="H2" s="5">
        <v>6.11</v>
      </c>
      <c r="I2" s="4">
        <v>130541</v>
      </c>
      <c r="J2" s="4">
        <v>50672</v>
      </c>
      <c r="K2" s="4">
        <v>122151</v>
      </c>
      <c r="L2" s="4">
        <v>-22354</v>
      </c>
      <c r="M2" s="4">
        <v>-110749</v>
      </c>
      <c r="N2" s="5">
        <v>0.87939999999999996</v>
      </c>
      <c r="O2" s="5">
        <v>2.3694999999999999</v>
      </c>
      <c r="P2" s="6">
        <v>196.9589</v>
      </c>
      <c r="Q2" s="6">
        <v>28.292400000000001</v>
      </c>
      <c r="R2" s="7">
        <v>66.699399999999997</v>
      </c>
      <c r="S2" s="5">
        <v>25.3096</v>
      </c>
      <c r="T2" s="5">
        <v>1.3146</v>
      </c>
      <c r="U2" s="5">
        <v>196.9589</v>
      </c>
      <c r="V2" s="4">
        <v>164000</v>
      </c>
      <c r="W2" s="5">
        <v>8.0028000000000006</v>
      </c>
      <c r="X2" s="4">
        <f t="shared" ref="X2:X33" si="0">E2-F2</f>
        <v>223546</v>
      </c>
      <c r="Y2" s="4">
        <f t="shared" ref="Y2:Y33" si="1">F2-G2</f>
        <v>70979</v>
      </c>
      <c r="Z2">
        <f t="shared" ref="Z2:Z33" si="2">COUNTBLANK(A2:Y2)</f>
        <v>0</v>
      </c>
      <c r="AB2" s="9" t="s">
        <v>47</v>
      </c>
      <c r="AC2" s="10">
        <f>AVERAGE('Data Cleaning'!D45:D52)</f>
        <v>122.95125000000002</v>
      </c>
    </row>
    <row r="3" spans="1:32" x14ac:dyDescent="0.3">
      <c r="A3">
        <v>2021</v>
      </c>
      <c r="B3" t="s">
        <v>23</v>
      </c>
      <c r="C3" t="s">
        <v>24</v>
      </c>
      <c r="D3" s="5">
        <v>2913.28</v>
      </c>
      <c r="E3" s="3">
        <v>365817</v>
      </c>
      <c r="F3" s="4">
        <v>152836</v>
      </c>
      <c r="G3" s="4">
        <v>94680</v>
      </c>
      <c r="H3" s="5">
        <v>5.61</v>
      </c>
      <c r="I3" s="4">
        <v>120233</v>
      </c>
      <c r="J3" s="4">
        <v>63090</v>
      </c>
      <c r="K3" s="4">
        <v>104038</v>
      </c>
      <c r="L3" s="4">
        <v>-14545</v>
      </c>
      <c r="M3" s="4">
        <v>-93353</v>
      </c>
      <c r="N3" s="5">
        <v>1.0746</v>
      </c>
      <c r="O3" s="5">
        <v>1.9767999999999999</v>
      </c>
      <c r="P3" s="6">
        <v>150.07130000000001</v>
      </c>
      <c r="Q3" s="6">
        <v>26.9742</v>
      </c>
      <c r="R3" s="7">
        <v>54.983899999999998</v>
      </c>
      <c r="S3" s="5">
        <v>25.881799999999998</v>
      </c>
      <c r="T3" s="5">
        <v>1.3261000000000001</v>
      </c>
      <c r="U3" s="5">
        <v>150.07130000000001</v>
      </c>
      <c r="V3" s="4">
        <v>154000</v>
      </c>
      <c r="W3" s="5">
        <v>4.6978999999999997</v>
      </c>
      <c r="X3" s="4">
        <f t="shared" si="0"/>
        <v>212981</v>
      </c>
      <c r="Y3" s="4">
        <f t="shared" si="1"/>
        <v>58156</v>
      </c>
      <c r="Z3">
        <f t="shared" si="2"/>
        <v>0</v>
      </c>
      <c r="AB3" s="9" t="s">
        <v>48</v>
      </c>
      <c r="AC3" s="10">
        <f>MEDIAN('Data Cleaning'!D45:D53)</f>
        <v>93.784999999999997</v>
      </c>
    </row>
    <row r="4" spans="1:32" x14ac:dyDescent="0.3">
      <c r="A4">
        <v>2020</v>
      </c>
      <c r="B4" t="s">
        <v>23</v>
      </c>
      <c r="C4" t="s">
        <v>24</v>
      </c>
      <c r="D4" s="5">
        <v>2255.9699999999998</v>
      </c>
      <c r="E4" s="3">
        <v>274515</v>
      </c>
      <c r="F4" s="4">
        <v>104956</v>
      </c>
      <c r="G4" s="4">
        <v>57411</v>
      </c>
      <c r="H4" s="5">
        <v>3.28</v>
      </c>
      <c r="I4" s="4">
        <v>77344</v>
      </c>
      <c r="J4" s="4">
        <v>65339</v>
      </c>
      <c r="K4" s="4">
        <v>80674</v>
      </c>
      <c r="L4" s="4">
        <v>-4289</v>
      </c>
      <c r="M4" s="4">
        <v>-86820</v>
      </c>
      <c r="N4" s="5">
        <v>1.3635999999999999</v>
      </c>
      <c r="O4" s="5">
        <v>1.7208000000000001</v>
      </c>
      <c r="P4" s="6">
        <v>87.866399999999999</v>
      </c>
      <c r="Q4" s="6">
        <v>17.7256</v>
      </c>
      <c r="R4" s="7">
        <v>35.005400000000002</v>
      </c>
      <c r="S4" s="5">
        <v>20.913599999999999</v>
      </c>
      <c r="T4" s="5">
        <v>1.0183</v>
      </c>
      <c r="U4" s="5">
        <v>87.866399999999999</v>
      </c>
      <c r="V4" s="4">
        <v>147000</v>
      </c>
      <c r="W4" s="5">
        <v>1.2336</v>
      </c>
      <c r="X4" s="4">
        <f t="shared" si="0"/>
        <v>169559</v>
      </c>
      <c r="Y4" s="4">
        <f t="shared" si="1"/>
        <v>47545</v>
      </c>
      <c r="Z4">
        <f t="shared" si="2"/>
        <v>0</v>
      </c>
      <c r="AB4" s="9" t="s">
        <v>50</v>
      </c>
      <c r="AC4" s="10">
        <f>AC2-AC3</f>
        <v>29.166250000000019</v>
      </c>
    </row>
    <row r="5" spans="1:32" x14ac:dyDescent="0.3">
      <c r="A5">
        <v>2019</v>
      </c>
      <c r="B5" t="s">
        <v>23</v>
      </c>
      <c r="C5" t="s">
        <v>24</v>
      </c>
      <c r="D5" s="5">
        <v>1304.76</v>
      </c>
      <c r="E5" s="3">
        <v>260174</v>
      </c>
      <c r="F5" s="4">
        <v>98392</v>
      </c>
      <c r="G5" s="4">
        <v>55256</v>
      </c>
      <c r="H5" s="5">
        <v>2.97</v>
      </c>
      <c r="I5" s="4">
        <v>76477</v>
      </c>
      <c r="J5" s="4">
        <v>90488</v>
      </c>
      <c r="K5" s="4">
        <v>69391</v>
      </c>
      <c r="L5" s="4">
        <v>45896</v>
      </c>
      <c r="M5" s="4">
        <v>-90976</v>
      </c>
      <c r="N5" s="5">
        <v>1.5401</v>
      </c>
      <c r="O5" s="5">
        <v>1.194</v>
      </c>
      <c r="P5" s="6">
        <v>61.064500000000002</v>
      </c>
      <c r="Q5" s="6">
        <v>16.323</v>
      </c>
      <c r="R5" s="7">
        <v>30.311299999999999</v>
      </c>
      <c r="S5" s="5">
        <v>21.238099999999999</v>
      </c>
      <c r="T5" s="5">
        <v>-3.8800000000000001E-2</v>
      </c>
      <c r="U5" s="5">
        <v>61.064500000000002</v>
      </c>
      <c r="V5" s="4">
        <v>137000</v>
      </c>
      <c r="W5" s="5">
        <v>1.8122</v>
      </c>
      <c r="X5" s="4">
        <f t="shared" si="0"/>
        <v>161782</v>
      </c>
      <c r="Y5" s="4">
        <f t="shared" si="1"/>
        <v>43136</v>
      </c>
      <c r="Z5">
        <f t="shared" si="2"/>
        <v>0</v>
      </c>
      <c r="AB5" s="9" t="s">
        <v>51</v>
      </c>
      <c r="AC5" s="9"/>
      <c r="AD5" s="9"/>
      <c r="AE5" s="9"/>
      <c r="AF5" s="9"/>
    </row>
    <row r="6" spans="1:32" x14ac:dyDescent="0.3">
      <c r="A6">
        <v>2018</v>
      </c>
      <c r="B6" t="s">
        <v>23</v>
      </c>
      <c r="C6" t="s">
        <v>24</v>
      </c>
      <c r="D6" s="5">
        <v>748.54</v>
      </c>
      <c r="E6" s="3">
        <v>265595</v>
      </c>
      <c r="F6" s="4">
        <v>101839</v>
      </c>
      <c r="G6" s="4">
        <v>59531</v>
      </c>
      <c r="H6" s="5">
        <v>2.98</v>
      </c>
      <c r="I6" s="4">
        <v>81801</v>
      </c>
      <c r="J6" s="4">
        <v>107147</v>
      </c>
      <c r="K6" s="4">
        <v>77434</v>
      </c>
      <c r="L6" s="4">
        <v>16066</v>
      </c>
      <c r="M6" s="4">
        <v>-87876</v>
      </c>
      <c r="N6" s="5">
        <v>1.1329</v>
      </c>
      <c r="O6" s="5">
        <v>1.0685</v>
      </c>
      <c r="P6" s="6">
        <v>55.560099999999998</v>
      </c>
      <c r="Q6" s="6">
        <v>16.2775</v>
      </c>
      <c r="R6" s="7">
        <v>29.634799999999998</v>
      </c>
      <c r="S6" s="5">
        <v>22.414200000000001</v>
      </c>
      <c r="T6" s="5">
        <v>0.74139999999999995</v>
      </c>
      <c r="U6" s="5">
        <v>55.560099999999998</v>
      </c>
      <c r="V6" s="4">
        <v>132000</v>
      </c>
      <c r="W6" s="5">
        <v>2.4426000000000001</v>
      </c>
      <c r="X6" s="4">
        <f t="shared" si="0"/>
        <v>163756</v>
      </c>
      <c r="Y6" s="4">
        <f t="shared" si="1"/>
        <v>42308</v>
      </c>
      <c r="Z6">
        <f t="shared" si="2"/>
        <v>0</v>
      </c>
    </row>
    <row r="7" spans="1:32" x14ac:dyDescent="0.3">
      <c r="A7">
        <v>2017</v>
      </c>
      <c r="B7" t="s">
        <v>23</v>
      </c>
      <c r="C7" t="s">
        <v>24</v>
      </c>
      <c r="D7" s="5">
        <v>868.87</v>
      </c>
      <c r="E7" s="3">
        <v>229234</v>
      </c>
      <c r="F7" s="4">
        <v>88186</v>
      </c>
      <c r="G7" s="4">
        <v>48351</v>
      </c>
      <c r="H7" s="5">
        <v>2.3025000000000002</v>
      </c>
      <c r="I7" s="4">
        <v>71501</v>
      </c>
      <c r="J7" s="4">
        <v>134047</v>
      </c>
      <c r="K7" s="4">
        <v>64225</v>
      </c>
      <c r="L7" s="4">
        <v>-46446</v>
      </c>
      <c r="M7" s="4">
        <v>-17974</v>
      </c>
      <c r="N7" s="5">
        <v>1.2761</v>
      </c>
      <c r="O7" s="5">
        <v>0.86299999999999999</v>
      </c>
      <c r="P7" s="6">
        <v>36.0702</v>
      </c>
      <c r="Q7" s="6">
        <v>12.8826</v>
      </c>
      <c r="R7" s="7">
        <v>20.908200000000001</v>
      </c>
      <c r="S7" s="5">
        <v>21.092400000000001</v>
      </c>
      <c r="T7" s="5">
        <v>3.3000000000000002E-2</v>
      </c>
      <c r="U7" s="5">
        <v>36.0702</v>
      </c>
      <c r="V7" s="4">
        <v>123000</v>
      </c>
      <c r="W7" s="5">
        <v>2.1301000000000001</v>
      </c>
      <c r="X7" s="4">
        <f t="shared" si="0"/>
        <v>141048</v>
      </c>
      <c r="Y7" s="4">
        <f t="shared" si="1"/>
        <v>39835</v>
      </c>
      <c r="Z7">
        <f t="shared" si="2"/>
        <v>0</v>
      </c>
    </row>
    <row r="8" spans="1:32" x14ac:dyDescent="0.3">
      <c r="A8">
        <v>2016</v>
      </c>
      <c r="B8" t="s">
        <v>23</v>
      </c>
      <c r="C8" t="s">
        <v>24</v>
      </c>
      <c r="D8" s="5">
        <v>617.59</v>
      </c>
      <c r="E8" s="3">
        <v>215639</v>
      </c>
      <c r="F8" s="4">
        <v>84263</v>
      </c>
      <c r="G8" s="4">
        <v>45687</v>
      </c>
      <c r="H8" s="5">
        <v>2.0775000000000001</v>
      </c>
      <c r="I8" s="4">
        <v>70529</v>
      </c>
      <c r="J8" s="4">
        <v>128249</v>
      </c>
      <c r="K8" s="4">
        <v>66231</v>
      </c>
      <c r="L8" s="4">
        <v>-45977</v>
      </c>
      <c r="M8" s="4">
        <v>-20890</v>
      </c>
      <c r="N8" s="5">
        <v>1.3527</v>
      </c>
      <c r="O8" s="5">
        <v>0.67859999999999998</v>
      </c>
      <c r="P8" s="6">
        <v>35.623699999999999</v>
      </c>
      <c r="Q8" s="6">
        <v>14.202400000000001</v>
      </c>
      <c r="R8" s="7">
        <v>22.4312</v>
      </c>
      <c r="S8" s="5">
        <v>21.186800000000002</v>
      </c>
      <c r="T8" s="5">
        <v>-0.59009999999999996</v>
      </c>
      <c r="U8" s="5">
        <v>38.190600000000003</v>
      </c>
      <c r="V8" s="4">
        <v>116000</v>
      </c>
      <c r="W8" s="5">
        <v>1.2616000000000001</v>
      </c>
      <c r="X8" s="4">
        <f t="shared" si="0"/>
        <v>131376</v>
      </c>
      <c r="Y8" s="4">
        <f t="shared" si="1"/>
        <v>38576</v>
      </c>
      <c r="Z8">
        <f t="shared" si="2"/>
        <v>0</v>
      </c>
    </row>
    <row r="9" spans="1:32" x14ac:dyDescent="0.3">
      <c r="A9">
        <v>2015</v>
      </c>
      <c r="B9" t="s">
        <v>23</v>
      </c>
      <c r="C9" t="s">
        <v>24</v>
      </c>
      <c r="D9" s="5">
        <v>586.86</v>
      </c>
      <c r="E9" s="3">
        <v>233715</v>
      </c>
      <c r="F9" s="4">
        <v>93626</v>
      </c>
      <c r="G9" s="4">
        <v>53394</v>
      </c>
      <c r="H9" s="5">
        <v>2.3050000000000002</v>
      </c>
      <c r="I9" s="4">
        <v>82487</v>
      </c>
      <c r="J9" s="4">
        <v>119355</v>
      </c>
      <c r="K9" s="4">
        <v>81266</v>
      </c>
      <c r="L9" s="4">
        <v>-56274</v>
      </c>
      <c r="M9" s="4">
        <v>-17716</v>
      </c>
      <c r="N9" s="5">
        <v>1.1088</v>
      </c>
      <c r="O9" s="5">
        <v>0.53900000000000003</v>
      </c>
      <c r="P9" s="6">
        <v>44.735500000000002</v>
      </c>
      <c r="Q9" s="6">
        <v>18.389900000000001</v>
      </c>
      <c r="R9" s="7">
        <v>30.920100000000001</v>
      </c>
      <c r="S9" s="5">
        <v>22.845800000000001</v>
      </c>
      <c r="T9" s="5">
        <v>0.97430000000000005</v>
      </c>
      <c r="U9" s="5">
        <v>48.387799999999999</v>
      </c>
      <c r="V9" s="4">
        <v>110000</v>
      </c>
      <c r="W9" s="5">
        <v>0.1186</v>
      </c>
      <c r="X9" s="4">
        <f t="shared" si="0"/>
        <v>140089</v>
      </c>
      <c r="Y9" s="4">
        <f t="shared" si="1"/>
        <v>40232</v>
      </c>
      <c r="Z9">
        <f t="shared" si="2"/>
        <v>0</v>
      </c>
    </row>
    <row r="10" spans="1:32" x14ac:dyDescent="0.3">
      <c r="A10">
        <v>2014</v>
      </c>
      <c r="B10" t="s">
        <v>23</v>
      </c>
      <c r="C10" t="s">
        <v>24</v>
      </c>
      <c r="D10" s="5">
        <v>647.36</v>
      </c>
      <c r="E10" s="3">
        <v>182795</v>
      </c>
      <c r="F10" s="4">
        <v>70537</v>
      </c>
      <c r="G10" s="4">
        <v>39510</v>
      </c>
      <c r="H10" s="5">
        <v>1.6125</v>
      </c>
      <c r="I10" s="4">
        <v>60449</v>
      </c>
      <c r="J10" s="4">
        <v>111547</v>
      </c>
      <c r="K10" s="4">
        <v>59713</v>
      </c>
      <c r="L10" s="4">
        <v>-22579</v>
      </c>
      <c r="M10" s="4">
        <v>-37549</v>
      </c>
      <c r="N10" s="5">
        <v>1.0801000000000001</v>
      </c>
      <c r="O10" s="5">
        <v>0.31640000000000001</v>
      </c>
      <c r="P10" s="6">
        <v>35.420099999999998</v>
      </c>
      <c r="Q10" s="6">
        <v>17.042000000000002</v>
      </c>
      <c r="R10" s="7">
        <v>28.1142</v>
      </c>
      <c r="S10" s="5">
        <v>21.6144</v>
      </c>
      <c r="T10" s="5">
        <v>0.30320000000000003</v>
      </c>
      <c r="U10" s="5">
        <v>38.438000000000002</v>
      </c>
      <c r="V10" s="4">
        <v>97000</v>
      </c>
      <c r="W10" s="5">
        <v>1.6222000000000001</v>
      </c>
      <c r="X10" s="4">
        <f t="shared" si="0"/>
        <v>112258</v>
      </c>
      <c r="Y10" s="4">
        <f t="shared" si="1"/>
        <v>31027</v>
      </c>
      <c r="Z10">
        <f t="shared" si="2"/>
        <v>0</v>
      </c>
    </row>
    <row r="11" spans="1:32" x14ac:dyDescent="0.3">
      <c r="A11">
        <v>2013</v>
      </c>
      <c r="B11" t="s">
        <v>23</v>
      </c>
      <c r="C11" t="s">
        <v>24</v>
      </c>
      <c r="D11" s="5">
        <v>504.79</v>
      </c>
      <c r="E11" s="3">
        <v>170910</v>
      </c>
      <c r="F11" s="4">
        <v>64304</v>
      </c>
      <c r="G11" s="4">
        <v>37037</v>
      </c>
      <c r="H11" s="5">
        <v>1.42</v>
      </c>
      <c r="I11" s="4">
        <v>55756</v>
      </c>
      <c r="J11" s="4">
        <v>123549</v>
      </c>
      <c r="K11" s="4">
        <v>53666</v>
      </c>
      <c r="L11" s="4">
        <v>-33774</v>
      </c>
      <c r="M11" s="4">
        <v>-16379</v>
      </c>
      <c r="N11" s="5">
        <v>1.6786000000000001</v>
      </c>
      <c r="O11" s="5">
        <v>0.13730000000000001</v>
      </c>
      <c r="P11" s="6">
        <v>29.977599999999999</v>
      </c>
      <c r="Q11" s="6">
        <v>17.892299999999999</v>
      </c>
      <c r="R11" s="7">
        <v>26.359200000000001</v>
      </c>
      <c r="S11" s="5">
        <v>21.670500000000001</v>
      </c>
      <c r="T11" s="5">
        <v>0.1363</v>
      </c>
      <c r="U11" s="5">
        <v>31.442499999999999</v>
      </c>
      <c r="V11" s="4">
        <v>84400</v>
      </c>
      <c r="W11" s="5">
        <v>1.4648000000000001</v>
      </c>
      <c r="X11" s="4">
        <f t="shared" si="0"/>
        <v>106606</v>
      </c>
      <c r="Y11" s="4">
        <f t="shared" si="1"/>
        <v>27267</v>
      </c>
      <c r="Z11">
        <f t="shared" si="2"/>
        <v>0</v>
      </c>
    </row>
    <row r="12" spans="1:32" x14ac:dyDescent="0.3">
      <c r="A12">
        <v>2012</v>
      </c>
      <c r="B12" t="s">
        <v>23</v>
      </c>
      <c r="C12" t="s">
        <v>24</v>
      </c>
      <c r="D12" s="5">
        <v>500.61</v>
      </c>
      <c r="E12" s="3">
        <v>156508</v>
      </c>
      <c r="F12" s="4">
        <v>68662</v>
      </c>
      <c r="G12" s="4">
        <v>41733</v>
      </c>
      <c r="H12" s="5">
        <v>1.5774999999999999</v>
      </c>
      <c r="I12" s="4">
        <v>58518</v>
      </c>
      <c r="J12" s="4">
        <v>118210</v>
      </c>
      <c r="K12" s="4">
        <v>50856</v>
      </c>
      <c r="L12" s="4">
        <v>-48227</v>
      </c>
      <c r="M12" s="4">
        <v>-1698</v>
      </c>
      <c r="N12" s="5">
        <v>1.4958</v>
      </c>
      <c r="O12" s="5">
        <v>0</v>
      </c>
      <c r="P12" s="6">
        <v>35.304099999999998</v>
      </c>
      <c r="Q12" s="6">
        <v>23.703299999999999</v>
      </c>
      <c r="R12" s="7">
        <v>35.304099999999998</v>
      </c>
      <c r="S12" s="5">
        <v>26.665099999999999</v>
      </c>
      <c r="T12" s="5">
        <v>0.33939999999999998</v>
      </c>
      <c r="U12" s="5">
        <v>36.980600000000003</v>
      </c>
      <c r="V12" s="4">
        <v>76100</v>
      </c>
      <c r="W12" s="5">
        <v>2.0693000000000001</v>
      </c>
      <c r="X12" s="4">
        <f t="shared" si="0"/>
        <v>87846</v>
      </c>
      <c r="Y12" s="4">
        <f t="shared" si="1"/>
        <v>26929</v>
      </c>
      <c r="Z12">
        <f t="shared" si="2"/>
        <v>0</v>
      </c>
    </row>
    <row r="13" spans="1:32" x14ac:dyDescent="0.3">
      <c r="A13">
        <v>2011</v>
      </c>
      <c r="B13" t="s">
        <v>23</v>
      </c>
      <c r="C13" t="s">
        <v>24</v>
      </c>
      <c r="D13" s="5">
        <v>376.4</v>
      </c>
      <c r="E13" s="3">
        <v>108249</v>
      </c>
      <c r="F13" s="4">
        <v>43818</v>
      </c>
      <c r="G13" s="4">
        <v>25922</v>
      </c>
      <c r="H13" s="5">
        <v>0.98860000000000003</v>
      </c>
      <c r="I13" s="4">
        <v>35604</v>
      </c>
      <c r="J13" s="4">
        <v>76615</v>
      </c>
      <c r="K13" s="4">
        <v>37529</v>
      </c>
      <c r="L13" s="4">
        <v>-40419</v>
      </c>
      <c r="M13" s="4">
        <v>1444</v>
      </c>
      <c r="N13" s="5">
        <v>1.6084000000000001</v>
      </c>
      <c r="O13" s="5">
        <v>0</v>
      </c>
      <c r="P13" s="6">
        <v>33.834099999999999</v>
      </c>
      <c r="Q13" s="6">
        <v>22.275300000000001</v>
      </c>
      <c r="R13" s="7">
        <v>33.834099999999999</v>
      </c>
      <c r="S13" s="5">
        <v>23.9466</v>
      </c>
      <c r="T13" s="5">
        <v>0.62780000000000002</v>
      </c>
      <c r="U13" s="5">
        <v>35.911499999999997</v>
      </c>
      <c r="V13" s="4">
        <v>63300</v>
      </c>
      <c r="W13" s="5">
        <v>3.1568000000000001</v>
      </c>
      <c r="X13" s="4">
        <f t="shared" si="0"/>
        <v>64431</v>
      </c>
      <c r="Y13" s="4">
        <f t="shared" si="1"/>
        <v>17896</v>
      </c>
      <c r="Z13">
        <f t="shared" si="2"/>
        <v>0</v>
      </c>
    </row>
    <row r="14" spans="1:32" x14ac:dyDescent="0.3">
      <c r="A14">
        <v>2010</v>
      </c>
      <c r="B14" t="s">
        <v>23</v>
      </c>
      <c r="C14" t="s">
        <v>24</v>
      </c>
      <c r="D14" s="5">
        <v>296.89</v>
      </c>
      <c r="E14" s="3">
        <v>65225</v>
      </c>
      <c r="F14" s="4">
        <v>25684</v>
      </c>
      <c r="G14" s="4">
        <v>14013</v>
      </c>
      <c r="H14" s="5">
        <v>0.54110000000000003</v>
      </c>
      <c r="I14" s="4">
        <v>19412</v>
      </c>
      <c r="J14" s="4">
        <v>47791</v>
      </c>
      <c r="K14" s="4">
        <v>18595</v>
      </c>
      <c r="L14" s="4">
        <v>-13854</v>
      </c>
      <c r="M14" s="4">
        <v>1257</v>
      </c>
      <c r="N14" s="5">
        <v>2.0112999999999999</v>
      </c>
      <c r="O14" s="5">
        <v>0</v>
      </c>
      <c r="P14" s="6">
        <v>29.321400000000001</v>
      </c>
      <c r="Q14" s="6">
        <v>18.638500000000001</v>
      </c>
      <c r="R14" s="7">
        <v>29.321400000000001</v>
      </c>
      <c r="S14" s="5">
        <v>21.484100000000002</v>
      </c>
      <c r="T14" s="5">
        <v>0.28570000000000001</v>
      </c>
      <c r="U14" s="5">
        <v>30.001300000000001</v>
      </c>
      <c r="V14" s="4">
        <v>49400</v>
      </c>
      <c r="W14" s="5">
        <v>1.64</v>
      </c>
      <c r="X14" s="4">
        <f t="shared" si="0"/>
        <v>39541</v>
      </c>
      <c r="Y14" s="4">
        <f t="shared" si="1"/>
        <v>11671</v>
      </c>
      <c r="Z14">
        <f t="shared" si="2"/>
        <v>0</v>
      </c>
    </row>
    <row r="15" spans="1:32" x14ac:dyDescent="0.3">
      <c r="A15">
        <v>2009</v>
      </c>
      <c r="B15" t="s">
        <v>23</v>
      </c>
      <c r="C15" t="s">
        <v>24</v>
      </c>
      <c r="D15" s="5">
        <v>189.8</v>
      </c>
      <c r="E15" s="3">
        <v>42905</v>
      </c>
      <c r="F15" s="4">
        <v>17222</v>
      </c>
      <c r="G15" s="4">
        <v>8235</v>
      </c>
      <c r="H15" s="5">
        <v>0.32429999999999998</v>
      </c>
      <c r="I15" s="4">
        <v>12474</v>
      </c>
      <c r="J15" s="4">
        <v>31640</v>
      </c>
      <c r="K15" s="4">
        <v>10159</v>
      </c>
      <c r="L15" s="4">
        <v>-17434</v>
      </c>
      <c r="M15" s="4">
        <v>663</v>
      </c>
      <c r="N15" s="5">
        <v>2.7425000000000002</v>
      </c>
      <c r="O15" s="5">
        <v>0</v>
      </c>
      <c r="P15" s="6">
        <v>26.027200000000001</v>
      </c>
      <c r="Q15" s="6">
        <v>17.336500000000001</v>
      </c>
      <c r="R15" s="7">
        <v>26.027200000000001</v>
      </c>
      <c r="S15" s="5">
        <v>19.1936</v>
      </c>
      <c r="T15" s="5">
        <v>0.35499999999999998</v>
      </c>
      <c r="U15" s="5">
        <v>26.405200000000001</v>
      </c>
      <c r="V15" s="4">
        <v>36800</v>
      </c>
      <c r="W15" s="5">
        <v>-0.35549999999999998</v>
      </c>
      <c r="X15" s="4">
        <f t="shared" si="0"/>
        <v>25683</v>
      </c>
      <c r="Y15" s="4">
        <f t="shared" si="1"/>
        <v>8987</v>
      </c>
      <c r="Z15">
        <f t="shared" si="2"/>
        <v>0</v>
      </c>
    </row>
    <row r="16" spans="1:32" x14ac:dyDescent="0.3">
      <c r="A16">
        <v>2023</v>
      </c>
      <c r="B16" t="s">
        <v>25</v>
      </c>
      <c r="C16" t="s">
        <v>24</v>
      </c>
      <c r="D16" s="5">
        <v>2451.23</v>
      </c>
      <c r="E16" s="3">
        <v>211915</v>
      </c>
      <c r="F16" s="4">
        <v>146052</v>
      </c>
      <c r="G16" s="4">
        <v>72361</v>
      </c>
      <c r="H16" s="5">
        <v>9.68</v>
      </c>
      <c r="I16" s="4">
        <v>102384</v>
      </c>
      <c r="J16" s="4">
        <v>206223</v>
      </c>
      <c r="K16" s="4">
        <v>87582</v>
      </c>
      <c r="L16" s="4">
        <v>-22680</v>
      </c>
      <c r="M16" s="4">
        <v>-43935</v>
      </c>
      <c r="N16" s="5">
        <v>1.7692000000000001</v>
      </c>
      <c r="O16" s="5">
        <v>0.2291</v>
      </c>
      <c r="P16" s="6">
        <v>35.088700000000003</v>
      </c>
      <c r="Q16" s="6">
        <v>17.564399999999999</v>
      </c>
      <c r="R16" s="7">
        <v>29.152799999999999</v>
      </c>
      <c r="S16" s="5">
        <v>34.1462</v>
      </c>
      <c r="T16" s="5">
        <v>-0.68079999999999996</v>
      </c>
      <c r="U16" s="5">
        <v>56.106400000000001</v>
      </c>
      <c r="V16" s="4">
        <v>221000</v>
      </c>
      <c r="W16" s="5">
        <v>3.7</v>
      </c>
      <c r="X16" s="4">
        <f t="shared" si="0"/>
        <v>65863</v>
      </c>
      <c r="Y16" s="4">
        <f t="shared" si="1"/>
        <v>73691</v>
      </c>
      <c r="Z16">
        <f t="shared" si="2"/>
        <v>0</v>
      </c>
    </row>
    <row r="17" spans="1:26" x14ac:dyDescent="0.3">
      <c r="A17">
        <v>2022</v>
      </c>
      <c r="B17" t="s">
        <v>25</v>
      </c>
      <c r="C17" t="s">
        <v>24</v>
      </c>
      <c r="D17" s="5">
        <v>1787.73</v>
      </c>
      <c r="E17" s="3">
        <v>198270</v>
      </c>
      <c r="F17" s="4">
        <v>135620</v>
      </c>
      <c r="G17" s="4">
        <v>72738</v>
      </c>
      <c r="H17" s="5">
        <v>9.65</v>
      </c>
      <c r="I17" s="4">
        <v>97843</v>
      </c>
      <c r="J17" s="4">
        <v>166542</v>
      </c>
      <c r="K17" s="4">
        <v>89035</v>
      </c>
      <c r="L17" s="4">
        <v>-30311</v>
      </c>
      <c r="M17" s="4">
        <v>-58876</v>
      </c>
      <c r="N17" s="5">
        <v>1.7846</v>
      </c>
      <c r="O17" s="5">
        <v>0.2989</v>
      </c>
      <c r="P17" s="6">
        <v>43.6755</v>
      </c>
      <c r="Q17" s="6">
        <v>19.937000000000001</v>
      </c>
      <c r="R17" s="7">
        <v>34.057499999999997</v>
      </c>
      <c r="S17" s="5">
        <v>36.686300000000003</v>
      </c>
      <c r="T17" s="5">
        <v>1.2643</v>
      </c>
      <c r="U17" s="5">
        <v>82.920699999999997</v>
      </c>
      <c r="V17" s="4">
        <v>221000</v>
      </c>
      <c r="W17" s="5">
        <v>8.0028000000000006</v>
      </c>
      <c r="X17" s="4">
        <f t="shared" si="0"/>
        <v>62650</v>
      </c>
      <c r="Y17" s="4">
        <f t="shared" si="1"/>
        <v>62882</v>
      </c>
      <c r="Z17">
        <f t="shared" si="2"/>
        <v>0</v>
      </c>
    </row>
    <row r="18" spans="1:26" x14ac:dyDescent="0.3">
      <c r="A18">
        <v>2021</v>
      </c>
      <c r="B18" t="s">
        <v>25</v>
      </c>
      <c r="C18" t="s">
        <v>24</v>
      </c>
      <c r="D18" s="5">
        <v>2525.08</v>
      </c>
      <c r="E18" s="3">
        <v>168088</v>
      </c>
      <c r="F18" s="4">
        <v>115856</v>
      </c>
      <c r="G18" s="4">
        <v>61271</v>
      </c>
      <c r="H18" s="5">
        <v>8.0500000000000007</v>
      </c>
      <c r="I18" s="4">
        <v>81602</v>
      </c>
      <c r="J18" s="4">
        <v>141988</v>
      </c>
      <c r="K18" s="4">
        <v>76740</v>
      </c>
      <c r="L18" s="4">
        <v>-27577</v>
      </c>
      <c r="M18" s="4">
        <v>-48486</v>
      </c>
      <c r="N18" s="5">
        <v>2.08</v>
      </c>
      <c r="O18" s="5">
        <v>0.40949999999999998</v>
      </c>
      <c r="P18" s="6">
        <v>43.152200000000001</v>
      </c>
      <c r="Q18" s="6">
        <v>18.3568</v>
      </c>
      <c r="R18" s="7">
        <v>31.901700000000002</v>
      </c>
      <c r="S18" s="5">
        <v>36.451700000000002</v>
      </c>
      <c r="T18" s="5">
        <v>1.4886999999999999</v>
      </c>
      <c r="U18" s="5">
        <v>72.529799999999994</v>
      </c>
      <c r="V18" s="4">
        <v>181000</v>
      </c>
      <c r="W18" s="5">
        <v>4.6978999999999997</v>
      </c>
      <c r="X18" s="4">
        <f t="shared" si="0"/>
        <v>52232</v>
      </c>
      <c r="Y18" s="4">
        <f t="shared" si="1"/>
        <v>54585</v>
      </c>
      <c r="Z18">
        <f t="shared" si="2"/>
        <v>0</v>
      </c>
    </row>
    <row r="19" spans="1:26" x14ac:dyDescent="0.3">
      <c r="A19">
        <v>2020</v>
      </c>
      <c r="B19" t="s">
        <v>25</v>
      </c>
      <c r="C19" t="s">
        <v>24</v>
      </c>
      <c r="D19" s="5">
        <v>1681.61</v>
      </c>
      <c r="E19" s="3">
        <v>143015</v>
      </c>
      <c r="F19" s="4">
        <v>96937</v>
      </c>
      <c r="G19" s="4">
        <v>44281</v>
      </c>
      <c r="H19" s="5">
        <v>5.76</v>
      </c>
      <c r="I19" s="4">
        <v>65755</v>
      </c>
      <c r="J19" s="4">
        <v>118304</v>
      </c>
      <c r="K19" s="4">
        <v>60675</v>
      </c>
      <c r="L19" s="4">
        <v>-12223</v>
      </c>
      <c r="M19" s="4">
        <v>-46031</v>
      </c>
      <c r="N19" s="5">
        <v>2.5158</v>
      </c>
      <c r="O19" s="5">
        <v>0.5353</v>
      </c>
      <c r="P19" s="6">
        <v>37.4298</v>
      </c>
      <c r="Q19" s="6">
        <v>14.696099999999999</v>
      </c>
      <c r="R19" s="7">
        <v>24.8935</v>
      </c>
      <c r="S19" s="5">
        <v>30.962499999999999</v>
      </c>
      <c r="T19" s="5">
        <v>0.9526</v>
      </c>
      <c r="U19" s="5">
        <v>65.200599999999994</v>
      </c>
      <c r="V19" s="4">
        <v>163000</v>
      </c>
      <c r="W19" s="5">
        <v>1.2336</v>
      </c>
      <c r="X19" s="4">
        <f t="shared" si="0"/>
        <v>46078</v>
      </c>
      <c r="Y19" s="4">
        <f t="shared" si="1"/>
        <v>52656</v>
      </c>
      <c r="Z19">
        <f t="shared" si="2"/>
        <v>0</v>
      </c>
    </row>
    <row r="20" spans="1:26" x14ac:dyDescent="0.3">
      <c r="A20">
        <v>2019</v>
      </c>
      <c r="B20" t="s">
        <v>25</v>
      </c>
      <c r="C20" t="s">
        <v>24</v>
      </c>
      <c r="D20" s="5">
        <v>1203.06</v>
      </c>
      <c r="E20" s="3">
        <v>125843</v>
      </c>
      <c r="F20" s="4">
        <v>82933</v>
      </c>
      <c r="G20" s="4">
        <v>39240</v>
      </c>
      <c r="H20" s="5">
        <v>5.0599999999999996</v>
      </c>
      <c r="I20" s="4">
        <v>54641</v>
      </c>
      <c r="J20" s="4">
        <v>102330</v>
      </c>
      <c r="K20" s="4">
        <v>52185</v>
      </c>
      <c r="L20" s="4">
        <v>-15773</v>
      </c>
      <c r="M20" s="4">
        <v>-36887</v>
      </c>
      <c r="N20" s="5">
        <v>2.5287999999999999</v>
      </c>
      <c r="O20" s="5">
        <v>0.70530000000000004</v>
      </c>
      <c r="P20" s="6">
        <v>38.346499999999999</v>
      </c>
      <c r="Q20" s="6">
        <v>13.6937</v>
      </c>
      <c r="R20" s="7">
        <v>23.22</v>
      </c>
      <c r="S20" s="5">
        <v>31.181699999999999</v>
      </c>
      <c r="T20" s="5">
        <v>0.79679999999999995</v>
      </c>
      <c r="U20" s="5">
        <v>74.6661</v>
      </c>
      <c r="V20" s="4">
        <v>144000</v>
      </c>
      <c r="W20" s="5">
        <v>1.8122</v>
      </c>
      <c r="X20" s="4">
        <f t="shared" si="0"/>
        <v>42910</v>
      </c>
      <c r="Y20" s="4">
        <f t="shared" si="1"/>
        <v>43693</v>
      </c>
      <c r="Z20">
        <f t="shared" si="2"/>
        <v>0</v>
      </c>
    </row>
    <row r="21" spans="1:26" x14ac:dyDescent="0.3">
      <c r="A21">
        <v>2018</v>
      </c>
      <c r="B21" t="s">
        <v>25</v>
      </c>
      <c r="C21" t="s">
        <v>24</v>
      </c>
      <c r="D21" s="5">
        <v>779.67</v>
      </c>
      <c r="E21" s="3">
        <v>110360</v>
      </c>
      <c r="F21" s="4">
        <v>72007</v>
      </c>
      <c r="G21" s="4">
        <v>16571</v>
      </c>
      <c r="H21" s="5">
        <v>2.13</v>
      </c>
      <c r="I21" s="4">
        <v>45319</v>
      </c>
      <c r="J21" s="4">
        <v>82718</v>
      </c>
      <c r="K21" s="4">
        <v>43884</v>
      </c>
      <c r="L21" s="4">
        <v>-6061</v>
      </c>
      <c r="M21" s="4">
        <v>-33590</v>
      </c>
      <c r="N21" s="5">
        <v>2.9007999999999998</v>
      </c>
      <c r="O21" s="5">
        <v>0.92169999999999996</v>
      </c>
      <c r="P21" s="6">
        <v>20.033100000000001</v>
      </c>
      <c r="Q21" s="6">
        <v>6.4017999999999997</v>
      </c>
      <c r="R21" s="7">
        <v>10.6937</v>
      </c>
      <c r="S21" s="5">
        <v>15.0154</v>
      </c>
      <c r="T21" s="5">
        <v>0.13170000000000001</v>
      </c>
      <c r="U21" s="5">
        <v>42.509399999999999</v>
      </c>
      <c r="V21" s="4">
        <v>131000</v>
      </c>
      <c r="W21" s="5">
        <v>2.4426000000000001</v>
      </c>
      <c r="X21" s="4">
        <f t="shared" si="0"/>
        <v>38353</v>
      </c>
      <c r="Y21" s="4">
        <f t="shared" si="1"/>
        <v>55436</v>
      </c>
      <c r="Z21">
        <f t="shared" si="2"/>
        <v>0</v>
      </c>
    </row>
    <row r="22" spans="1:26" x14ac:dyDescent="0.3">
      <c r="A22">
        <v>2017</v>
      </c>
      <c r="B22" t="s">
        <v>25</v>
      </c>
      <c r="C22" t="s">
        <v>24</v>
      </c>
      <c r="D22" s="5">
        <v>659.91</v>
      </c>
      <c r="E22" s="3">
        <v>96571</v>
      </c>
      <c r="F22" s="4">
        <v>62310</v>
      </c>
      <c r="G22" s="4">
        <v>25489</v>
      </c>
      <c r="H22" s="5">
        <v>3.25</v>
      </c>
      <c r="I22" s="4">
        <v>37803</v>
      </c>
      <c r="J22" s="4">
        <v>87711</v>
      </c>
      <c r="K22" s="4">
        <v>39507</v>
      </c>
      <c r="L22" s="4">
        <v>-46781</v>
      </c>
      <c r="M22" s="4">
        <v>8408</v>
      </c>
      <c r="N22" s="5">
        <v>2.9186000000000001</v>
      </c>
      <c r="O22" s="5">
        <v>0.98270000000000002</v>
      </c>
      <c r="P22" s="6">
        <v>29.060199999999998</v>
      </c>
      <c r="Q22" s="6">
        <v>10.1829</v>
      </c>
      <c r="R22" s="7">
        <v>15.5626</v>
      </c>
      <c r="S22" s="5">
        <v>26.394100000000002</v>
      </c>
      <c r="T22" s="5">
        <v>0.88870000000000005</v>
      </c>
      <c r="U22" s="5">
        <v>59.998100000000001</v>
      </c>
      <c r="V22" s="4">
        <v>124000</v>
      </c>
      <c r="W22" s="5">
        <v>2.1301000000000001</v>
      </c>
      <c r="X22" s="4">
        <f t="shared" si="0"/>
        <v>34261</v>
      </c>
      <c r="Y22" s="4">
        <f t="shared" si="1"/>
        <v>36821</v>
      </c>
      <c r="Z22">
        <f t="shared" si="2"/>
        <v>0</v>
      </c>
    </row>
    <row r="23" spans="1:26" x14ac:dyDescent="0.3">
      <c r="A23">
        <v>2016</v>
      </c>
      <c r="B23" t="s">
        <v>25</v>
      </c>
      <c r="C23" t="s">
        <v>24</v>
      </c>
      <c r="D23" s="5">
        <v>483.16</v>
      </c>
      <c r="E23" s="3">
        <v>91154</v>
      </c>
      <c r="F23" s="4">
        <v>58374</v>
      </c>
      <c r="G23" s="4">
        <v>20539</v>
      </c>
      <c r="H23" s="5">
        <v>2.56</v>
      </c>
      <c r="I23" s="4">
        <v>33330</v>
      </c>
      <c r="J23" s="4">
        <v>71997</v>
      </c>
      <c r="K23" s="4">
        <v>33325</v>
      </c>
      <c r="L23" s="4">
        <v>-23950</v>
      </c>
      <c r="M23" s="4">
        <v>-8393</v>
      </c>
      <c r="N23" s="5">
        <v>2.3529</v>
      </c>
      <c r="O23" s="5">
        <v>0.74250000000000005</v>
      </c>
      <c r="P23" s="6">
        <v>28.5276</v>
      </c>
      <c r="Q23" s="6">
        <v>10.616199999999999</v>
      </c>
      <c r="R23" s="7">
        <v>18.248100000000001</v>
      </c>
      <c r="S23" s="5">
        <v>22.5322</v>
      </c>
      <c r="T23" s="5">
        <v>0.24349999999999999</v>
      </c>
      <c r="U23" s="5">
        <v>40.758499999999998</v>
      </c>
      <c r="V23" s="4">
        <v>114000</v>
      </c>
      <c r="W23" s="5">
        <v>1.2616000000000001</v>
      </c>
      <c r="X23" s="4">
        <f t="shared" si="0"/>
        <v>32780</v>
      </c>
      <c r="Y23" s="4">
        <f t="shared" si="1"/>
        <v>37835</v>
      </c>
      <c r="Z23">
        <f t="shared" si="2"/>
        <v>0</v>
      </c>
    </row>
    <row r="24" spans="1:26" x14ac:dyDescent="0.3">
      <c r="A24">
        <v>2015</v>
      </c>
      <c r="B24" t="s">
        <v>25</v>
      </c>
      <c r="C24" t="s">
        <v>24</v>
      </c>
      <c r="D24" s="5">
        <v>443.17</v>
      </c>
      <c r="E24" s="3">
        <v>93580</v>
      </c>
      <c r="F24" s="4">
        <v>60542</v>
      </c>
      <c r="G24" s="4">
        <v>12193</v>
      </c>
      <c r="H24" s="5">
        <v>1.48</v>
      </c>
      <c r="I24" s="4">
        <v>31616</v>
      </c>
      <c r="J24" s="4">
        <v>80083</v>
      </c>
      <c r="K24" s="4">
        <v>29668</v>
      </c>
      <c r="L24" s="4">
        <v>-23001</v>
      </c>
      <c r="M24" s="4">
        <v>-9668</v>
      </c>
      <c r="N24" s="5">
        <v>2.4733999999999998</v>
      </c>
      <c r="O24" s="5">
        <v>0.44069999999999998</v>
      </c>
      <c r="P24" s="6">
        <v>15.2255</v>
      </c>
      <c r="Q24" s="6">
        <v>6.9885000000000002</v>
      </c>
      <c r="R24" s="7">
        <v>11.3012</v>
      </c>
      <c r="S24" s="5">
        <v>13.029500000000001</v>
      </c>
      <c r="T24" s="5">
        <v>-0.34250000000000003</v>
      </c>
      <c r="U24" s="5">
        <v>20.911000000000001</v>
      </c>
      <c r="V24" s="4">
        <v>118000</v>
      </c>
      <c r="W24" s="5">
        <v>0.1186</v>
      </c>
      <c r="X24" s="4">
        <f t="shared" si="0"/>
        <v>33038</v>
      </c>
      <c r="Y24" s="4">
        <f t="shared" si="1"/>
        <v>48349</v>
      </c>
      <c r="Z24">
        <f t="shared" si="2"/>
        <v>0</v>
      </c>
    </row>
    <row r="25" spans="1:26" x14ac:dyDescent="0.3">
      <c r="A25">
        <v>2014</v>
      </c>
      <c r="B25" t="s">
        <v>25</v>
      </c>
      <c r="C25" t="s">
        <v>24</v>
      </c>
      <c r="D25" s="5">
        <v>382.88</v>
      </c>
      <c r="E25" s="3">
        <v>86833</v>
      </c>
      <c r="F25" s="4">
        <v>59755</v>
      </c>
      <c r="G25" s="4">
        <v>22074</v>
      </c>
      <c r="H25" s="5">
        <v>2.63</v>
      </c>
      <c r="I25" s="4">
        <v>32971</v>
      </c>
      <c r="J25" s="4">
        <v>89784</v>
      </c>
      <c r="K25" s="4">
        <v>32502</v>
      </c>
      <c r="L25" s="4">
        <v>-18833</v>
      </c>
      <c r="M25" s="4">
        <v>-8665</v>
      </c>
      <c r="N25" s="5">
        <v>2.504</v>
      </c>
      <c r="O25" s="5">
        <v>0.25219999999999998</v>
      </c>
      <c r="P25" s="6">
        <v>24.585699999999999</v>
      </c>
      <c r="Q25" s="6">
        <v>12.805099999999999</v>
      </c>
      <c r="R25" s="7">
        <v>19.9893</v>
      </c>
      <c r="S25" s="5">
        <v>25.421199999999999</v>
      </c>
      <c r="T25" s="5">
        <v>0.31519999999999998</v>
      </c>
      <c r="U25" s="5">
        <v>35.219200000000001</v>
      </c>
      <c r="V25" s="4">
        <v>128000</v>
      </c>
      <c r="W25" s="5">
        <v>1.6222000000000001</v>
      </c>
      <c r="X25" s="4">
        <f t="shared" si="0"/>
        <v>27078</v>
      </c>
      <c r="Y25" s="4">
        <f t="shared" si="1"/>
        <v>37681</v>
      </c>
      <c r="Z25">
        <f t="shared" si="2"/>
        <v>0</v>
      </c>
    </row>
    <row r="26" spans="1:26" x14ac:dyDescent="0.3">
      <c r="A26">
        <v>2013</v>
      </c>
      <c r="B26" t="s">
        <v>25</v>
      </c>
      <c r="C26" t="s">
        <v>24</v>
      </c>
      <c r="D26" s="5">
        <v>312.3</v>
      </c>
      <c r="E26" s="3">
        <v>77849</v>
      </c>
      <c r="F26" s="4">
        <v>57464</v>
      </c>
      <c r="G26" s="4">
        <v>21863</v>
      </c>
      <c r="H26" s="5">
        <v>2.58</v>
      </c>
      <c r="I26" s="4">
        <v>30519</v>
      </c>
      <c r="J26" s="4">
        <v>78944</v>
      </c>
      <c r="K26" s="4">
        <v>28833</v>
      </c>
      <c r="L26" s="4">
        <v>-23811</v>
      </c>
      <c r="M26" s="4">
        <v>-8148</v>
      </c>
      <c r="N26" s="5">
        <v>2.7118000000000002</v>
      </c>
      <c r="O26" s="5">
        <v>0.1976</v>
      </c>
      <c r="P26" s="6">
        <v>27.694299999999998</v>
      </c>
      <c r="Q26" s="6">
        <v>15.3499</v>
      </c>
      <c r="R26" s="7">
        <v>23.882200000000001</v>
      </c>
      <c r="S26" s="5">
        <v>28.0839</v>
      </c>
      <c r="T26" s="5">
        <v>-0.54559999999999997</v>
      </c>
      <c r="U26" s="5">
        <v>35.720399999999998</v>
      </c>
      <c r="V26" s="4">
        <v>118000</v>
      </c>
      <c r="W26" s="5">
        <v>1.4648000000000001</v>
      </c>
      <c r="X26" s="4">
        <f t="shared" si="0"/>
        <v>20385</v>
      </c>
      <c r="Y26" s="4">
        <f t="shared" si="1"/>
        <v>35601</v>
      </c>
      <c r="Z26">
        <f t="shared" si="2"/>
        <v>0</v>
      </c>
    </row>
    <row r="27" spans="1:26" x14ac:dyDescent="0.3">
      <c r="A27">
        <v>2012</v>
      </c>
      <c r="B27" t="s">
        <v>25</v>
      </c>
      <c r="C27" t="s">
        <v>24</v>
      </c>
      <c r="D27" s="5">
        <v>224.8</v>
      </c>
      <c r="E27" s="3">
        <v>73723</v>
      </c>
      <c r="F27" s="4">
        <v>56193</v>
      </c>
      <c r="G27" s="4">
        <v>16978</v>
      </c>
      <c r="H27" s="5">
        <v>2</v>
      </c>
      <c r="I27" s="4">
        <v>30923</v>
      </c>
      <c r="J27" s="4">
        <v>66363</v>
      </c>
      <c r="K27" s="4">
        <v>31626</v>
      </c>
      <c r="L27" s="4">
        <v>-24786</v>
      </c>
      <c r="M27" s="4">
        <v>-9408</v>
      </c>
      <c r="N27" s="5">
        <v>2.6029</v>
      </c>
      <c r="O27" s="5">
        <v>0.18</v>
      </c>
      <c r="P27" s="6">
        <v>25.583500000000001</v>
      </c>
      <c r="Q27" s="6">
        <v>14.0001</v>
      </c>
      <c r="R27" s="7">
        <v>22.0276</v>
      </c>
      <c r="S27" s="5">
        <v>23.029499999999999</v>
      </c>
      <c r="T27" s="5">
        <v>0.57979999999999998</v>
      </c>
      <c r="U27" s="5">
        <v>34.132800000000003</v>
      </c>
      <c r="V27" s="4">
        <v>128000</v>
      </c>
      <c r="W27" s="5">
        <v>2.0693000000000001</v>
      </c>
      <c r="X27" s="4">
        <f t="shared" si="0"/>
        <v>17530</v>
      </c>
      <c r="Y27" s="4">
        <f t="shared" si="1"/>
        <v>39215</v>
      </c>
      <c r="Z27">
        <f t="shared" si="2"/>
        <v>0</v>
      </c>
    </row>
    <row r="28" spans="1:26" x14ac:dyDescent="0.3">
      <c r="A28">
        <v>2011</v>
      </c>
      <c r="B28" t="s">
        <v>25</v>
      </c>
      <c r="C28" t="s">
        <v>24</v>
      </c>
      <c r="D28" s="5">
        <v>218.38</v>
      </c>
      <c r="E28" s="3">
        <v>69943</v>
      </c>
      <c r="F28" s="4">
        <v>54366</v>
      </c>
      <c r="G28" s="4">
        <v>23150</v>
      </c>
      <c r="H28" s="5">
        <v>2.69</v>
      </c>
      <c r="I28" s="4">
        <v>29927</v>
      </c>
      <c r="J28" s="4">
        <v>57083</v>
      </c>
      <c r="K28" s="4">
        <v>26994</v>
      </c>
      <c r="L28" s="4">
        <v>-14616</v>
      </c>
      <c r="M28" s="4">
        <v>-8376</v>
      </c>
      <c r="N28" s="5">
        <v>2.6036999999999999</v>
      </c>
      <c r="O28" s="5">
        <v>0.20880000000000001</v>
      </c>
      <c r="P28" s="6">
        <v>40.555</v>
      </c>
      <c r="Q28" s="6">
        <v>21.296399999999998</v>
      </c>
      <c r="R28" s="7">
        <v>33.5488</v>
      </c>
      <c r="S28" s="5">
        <v>33.098399999999998</v>
      </c>
      <c r="T28" s="5">
        <v>0.3921</v>
      </c>
      <c r="U28" s="5">
        <v>52.904600000000002</v>
      </c>
      <c r="V28" s="4">
        <v>99000</v>
      </c>
      <c r="W28" s="5">
        <v>3.1568000000000001</v>
      </c>
      <c r="X28" s="4">
        <f t="shared" si="0"/>
        <v>15577</v>
      </c>
      <c r="Y28" s="4">
        <f t="shared" si="1"/>
        <v>31216</v>
      </c>
      <c r="Z28">
        <f t="shared" si="2"/>
        <v>0</v>
      </c>
    </row>
    <row r="29" spans="1:26" x14ac:dyDescent="0.3">
      <c r="A29">
        <v>2010</v>
      </c>
      <c r="B29" t="s">
        <v>25</v>
      </c>
      <c r="C29" t="s">
        <v>24</v>
      </c>
      <c r="D29" s="5">
        <v>238.78</v>
      </c>
      <c r="E29" s="3">
        <v>62484</v>
      </c>
      <c r="F29" s="4">
        <v>50089</v>
      </c>
      <c r="G29" s="4">
        <v>18760</v>
      </c>
      <c r="H29" s="5">
        <v>2.1</v>
      </c>
      <c r="I29" s="4">
        <v>26771</v>
      </c>
      <c r="J29" s="4">
        <v>46175</v>
      </c>
      <c r="K29" s="4">
        <v>24073</v>
      </c>
      <c r="L29" s="4">
        <v>-11314</v>
      </c>
      <c r="M29" s="4">
        <v>-13291</v>
      </c>
      <c r="N29" s="5">
        <v>2.1293000000000002</v>
      </c>
      <c r="O29" s="5">
        <v>0.12859999999999999</v>
      </c>
      <c r="P29" s="6">
        <v>40.628</v>
      </c>
      <c r="Q29" s="6">
        <v>21.785299999999999</v>
      </c>
      <c r="R29" s="7">
        <v>36.702300000000001</v>
      </c>
      <c r="S29" s="5">
        <v>30.023700000000002</v>
      </c>
      <c r="T29" s="5">
        <v>0.70569999999999999</v>
      </c>
      <c r="U29" s="5">
        <v>57.505400000000002</v>
      </c>
      <c r="V29" s="4">
        <v>94000</v>
      </c>
      <c r="W29" s="5">
        <v>1.64</v>
      </c>
      <c r="X29" s="4">
        <f t="shared" si="0"/>
        <v>12395</v>
      </c>
      <c r="Y29" s="4">
        <f t="shared" si="1"/>
        <v>31329</v>
      </c>
      <c r="Z29">
        <f t="shared" si="2"/>
        <v>0</v>
      </c>
    </row>
    <row r="30" spans="1:26" x14ac:dyDescent="0.3">
      <c r="A30">
        <v>2009</v>
      </c>
      <c r="B30" t="s">
        <v>25</v>
      </c>
      <c r="C30" t="s">
        <v>24</v>
      </c>
      <c r="D30" s="5">
        <v>270.64</v>
      </c>
      <c r="E30" s="3">
        <v>58437</v>
      </c>
      <c r="F30" s="4">
        <v>46282</v>
      </c>
      <c r="G30" s="4">
        <v>14569</v>
      </c>
      <c r="H30" s="5">
        <v>1.62</v>
      </c>
      <c r="I30" s="4">
        <v>22925</v>
      </c>
      <c r="J30" s="4">
        <v>39558</v>
      </c>
      <c r="K30" s="4">
        <v>19037</v>
      </c>
      <c r="L30" s="4">
        <v>-15770</v>
      </c>
      <c r="M30" s="4">
        <v>-7463</v>
      </c>
      <c r="N30" s="5">
        <v>1.8229</v>
      </c>
      <c r="O30" s="5">
        <v>0.14530000000000001</v>
      </c>
      <c r="P30" s="6">
        <v>36.829500000000003</v>
      </c>
      <c r="Q30" s="6">
        <v>18.705100000000002</v>
      </c>
      <c r="R30" s="7">
        <v>33.643500000000003</v>
      </c>
      <c r="S30" s="5">
        <v>24.931100000000001</v>
      </c>
      <c r="T30" s="5">
        <v>1.7695000000000001</v>
      </c>
      <c r="U30" s="5">
        <v>57.594099999999997</v>
      </c>
      <c r="V30" s="4">
        <v>90000</v>
      </c>
      <c r="W30" s="5">
        <v>-0.35549999999999998</v>
      </c>
      <c r="X30" s="4">
        <f t="shared" si="0"/>
        <v>12155</v>
      </c>
      <c r="Y30" s="4">
        <f t="shared" si="1"/>
        <v>31713</v>
      </c>
      <c r="Z30">
        <f t="shared" si="2"/>
        <v>0</v>
      </c>
    </row>
    <row r="31" spans="1:26" x14ac:dyDescent="0.3">
      <c r="A31">
        <v>2022</v>
      </c>
      <c r="B31" t="s">
        <v>26</v>
      </c>
      <c r="C31" t="s">
        <v>24</v>
      </c>
      <c r="D31" s="5">
        <v>1144.3499999999999</v>
      </c>
      <c r="E31" s="3">
        <v>282836</v>
      </c>
      <c r="F31" s="4">
        <v>156633</v>
      </c>
      <c r="G31" s="4">
        <v>59972</v>
      </c>
      <c r="H31" s="5">
        <v>4.5599999999999996</v>
      </c>
      <c r="I31" s="4">
        <v>90770</v>
      </c>
      <c r="J31" s="4">
        <v>256144</v>
      </c>
      <c r="K31" s="4">
        <v>91495</v>
      </c>
      <c r="L31" s="4">
        <v>-20298</v>
      </c>
      <c r="M31" s="4">
        <v>-69757</v>
      </c>
      <c r="N31" s="5">
        <v>2.3780000000000001</v>
      </c>
      <c r="O31" s="5">
        <v>5.74E-2</v>
      </c>
      <c r="P31" s="6">
        <v>23.413399999999999</v>
      </c>
      <c r="Q31" s="6">
        <v>16.418800000000001</v>
      </c>
      <c r="R31" s="7">
        <v>22.142600000000002</v>
      </c>
      <c r="S31" s="5">
        <v>21.203800000000001</v>
      </c>
      <c r="T31" s="5">
        <v>-0.36130000000000001</v>
      </c>
      <c r="U31" s="5">
        <v>26.642399999999999</v>
      </c>
      <c r="V31" s="4">
        <v>190234</v>
      </c>
      <c r="W31" s="5">
        <v>8.0028000000000006</v>
      </c>
      <c r="X31" s="4">
        <f t="shared" si="0"/>
        <v>126203</v>
      </c>
      <c r="Y31" s="4">
        <f t="shared" si="1"/>
        <v>96661</v>
      </c>
      <c r="Z31">
        <f t="shared" si="2"/>
        <v>0</v>
      </c>
    </row>
    <row r="32" spans="1:26" x14ac:dyDescent="0.3">
      <c r="A32">
        <v>2021</v>
      </c>
      <c r="B32" t="s">
        <v>26</v>
      </c>
      <c r="C32" t="s">
        <v>24</v>
      </c>
      <c r="D32" s="5">
        <v>1910.26</v>
      </c>
      <c r="E32" s="3">
        <v>257637</v>
      </c>
      <c r="F32" s="4">
        <v>146698</v>
      </c>
      <c r="G32" s="4">
        <v>76033</v>
      </c>
      <c r="H32" s="5">
        <v>5.61</v>
      </c>
      <c r="I32" s="4">
        <v>91155</v>
      </c>
      <c r="J32" s="4">
        <v>251635</v>
      </c>
      <c r="K32" s="4">
        <v>91652</v>
      </c>
      <c r="L32" s="4">
        <v>-35523</v>
      </c>
      <c r="M32" s="4">
        <v>-61362</v>
      </c>
      <c r="N32" s="5">
        <v>2.9281000000000001</v>
      </c>
      <c r="O32" s="5">
        <v>5.8900000000000001E-2</v>
      </c>
      <c r="P32" s="6">
        <v>30.215599999999998</v>
      </c>
      <c r="Q32" s="6">
        <v>21.1633</v>
      </c>
      <c r="R32" s="7">
        <v>28.535399999999999</v>
      </c>
      <c r="S32" s="5">
        <v>29.511700000000001</v>
      </c>
      <c r="T32" s="5">
        <v>1.7122999999999999</v>
      </c>
      <c r="U32" s="5">
        <v>33.456099999999999</v>
      </c>
      <c r="V32" s="4">
        <v>156500</v>
      </c>
      <c r="W32" s="5">
        <v>4.6978999999999997</v>
      </c>
      <c r="X32" s="4">
        <f t="shared" si="0"/>
        <v>110939</v>
      </c>
      <c r="Y32" s="4">
        <f t="shared" si="1"/>
        <v>70665</v>
      </c>
      <c r="Z32">
        <f t="shared" si="2"/>
        <v>0</v>
      </c>
    </row>
    <row r="33" spans="1:26" x14ac:dyDescent="0.3">
      <c r="A33">
        <v>2020</v>
      </c>
      <c r="B33" t="s">
        <v>26</v>
      </c>
      <c r="C33" t="s">
        <v>24</v>
      </c>
      <c r="D33" s="5">
        <v>1179.4000000000001</v>
      </c>
      <c r="E33" s="3">
        <v>182527</v>
      </c>
      <c r="F33" s="4">
        <v>97795</v>
      </c>
      <c r="G33" s="4">
        <v>40269</v>
      </c>
      <c r="H33" s="5">
        <v>2.93</v>
      </c>
      <c r="I33" s="4">
        <v>54921</v>
      </c>
      <c r="J33" s="4">
        <v>222544</v>
      </c>
      <c r="K33" s="4">
        <v>65124</v>
      </c>
      <c r="L33" s="4">
        <v>-32773</v>
      </c>
      <c r="M33" s="4">
        <v>-24408</v>
      </c>
      <c r="N33" s="5">
        <v>3.0668000000000002</v>
      </c>
      <c r="O33" s="5">
        <v>6.2600000000000003E-2</v>
      </c>
      <c r="P33" s="6">
        <v>18.094899999999999</v>
      </c>
      <c r="Q33" s="6">
        <v>12.5992</v>
      </c>
      <c r="R33" s="7">
        <v>17.0288</v>
      </c>
      <c r="S33" s="5">
        <v>22.061900000000001</v>
      </c>
      <c r="T33" s="5">
        <v>0.84299999999999997</v>
      </c>
      <c r="U33" s="5">
        <v>20.142199999999999</v>
      </c>
      <c r="V33" s="4">
        <v>135301</v>
      </c>
      <c r="W33" s="5">
        <v>1.2336</v>
      </c>
      <c r="X33" s="4">
        <f t="shared" si="0"/>
        <v>84732</v>
      </c>
      <c r="Y33" s="4">
        <f t="shared" si="1"/>
        <v>57526</v>
      </c>
      <c r="Z33">
        <f t="shared" si="2"/>
        <v>0</v>
      </c>
    </row>
    <row r="34" spans="1:26" x14ac:dyDescent="0.3">
      <c r="A34">
        <v>2019</v>
      </c>
      <c r="B34" t="s">
        <v>26</v>
      </c>
      <c r="C34" t="s">
        <v>24</v>
      </c>
      <c r="D34" s="5">
        <v>917.82</v>
      </c>
      <c r="E34" s="3">
        <v>161857</v>
      </c>
      <c r="F34" s="4">
        <v>89961</v>
      </c>
      <c r="G34" s="4">
        <v>34343</v>
      </c>
      <c r="H34" s="5">
        <v>2.4580000000000002</v>
      </c>
      <c r="I34" s="4">
        <v>46012</v>
      </c>
      <c r="J34" s="4">
        <v>201442</v>
      </c>
      <c r="K34" s="4">
        <v>54520</v>
      </c>
      <c r="L34" s="4">
        <v>-29491</v>
      </c>
      <c r="M34" s="4">
        <v>-23209</v>
      </c>
      <c r="N34" s="5">
        <v>3.3740999999999999</v>
      </c>
      <c r="O34" s="5">
        <v>2.2599999999999999E-2</v>
      </c>
      <c r="P34" s="6">
        <v>17.0486</v>
      </c>
      <c r="Q34" s="6">
        <v>12.4472</v>
      </c>
      <c r="R34" s="7">
        <v>16.671700000000001</v>
      </c>
      <c r="S34" s="5">
        <v>21.2181</v>
      </c>
      <c r="T34" s="5">
        <v>0.55659999999999998</v>
      </c>
      <c r="U34" s="5">
        <v>19.203299999999999</v>
      </c>
      <c r="V34" s="4">
        <v>118899</v>
      </c>
      <c r="W34" s="5">
        <v>1.8122</v>
      </c>
      <c r="X34" s="4">
        <f t="shared" ref="X34:X65" si="3">E34-F34</f>
        <v>71896</v>
      </c>
      <c r="Y34" s="4">
        <f t="shared" ref="Y34:Y65" si="4">F34-G34</f>
        <v>55618</v>
      </c>
      <c r="Z34">
        <f t="shared" ref="Z34:Z65" si="5">COUNTBLANK(A34:Y34)</f>
        <v>0</v>
      </c>
    </row>
    <row r="35" spans="1:26" x14ac:dyDescent="0.3">
      <c r="A35">
        <v>2018</v>
      </c>
      <c r="B35" t="s">
        <v>26</v>
      </c>
      <c r="C35" t="s">
        <v>24</v>
      </c>
      <c r="D35" s="5">
        <v>719.63</v>
      </c>
      <c r="E35" s="3">
        <v>136819</v>
      </c>
      <c r="F35" s="4">
        <v>77270</v>
      </c>
      <c r="G35" s="4">
        <v>30736</v>
      </c>
      <c r="H35" s="5">
        <v>2.1850000000000001</v>
      </c>
      <c r="I35" s="4">
        <v>36559</v>
      </c>
      <c r="J35" s="4">
        <v>177628</v>
      </c>
      <c r="K35" s="4">
        <v>47971</v>
      </c>
      <c r="L35" s="4">
        <v>-28504</v>
      </c>
      <c r="M35" s="4">
        <v>-13179</v>
      </c>
      <c r="N35" s="5">
        <v>3.919</v>
      </c>
      <c r="O35" s="5">
        <v>2.2599999999999999E-2</v>
      </c>
      <c r="P35" s="6">
        <v>17.303599999999999</v>
      </c>
      <c r="Q35" s="6">
        <v>13.203200000000001</v>
      </c>
      <c r="R35" s="7">
        <v>16.921399999999998</v>
      </c>
      <c r="S35" s="5">
        <v>22.464700000000001</v>
      </c>
      <c r="T35" s="5">
        <v>-7.0499999999999993E-2</v>
      </c>
      <c r="U35" s="5">
        <v>19.5124</v>
      </c>
      <c r="V35" s="4">
        <v>98771</v>
      </c>
      <c r="W35" s="5">
        <v>2.4426000000000001</v>
      </c>
      <c r="X35" s="4">
        <f t="shared" si="3"/>
        <v>59549</v>
      </c>
      <c r="Y35" s="4">
        <f t="shared" si="4"/>
        <v>46534</v>
      </c>
      <c r="Z35">
        <f t="shared" si="5"/>
        <v>0</v>
      </c>
    </row>
    <row r="36" spans="1:26" x14ac:dyDescent="0.3">
      <c r="A36">
        <v>2017</v>
      </c>
      <c r="B36" t="s">
        <v>26</v>
      </c>
      <c r="C36" t="s">
        <v>24</v>
      </c>
      <c r="D36" s="5">
        <v>726.47</v>
      </c>
      <c r="E36" s="3">
        <v>110855</v>
      </c>
      <c r="F36" s="4">
        <v>65272</v>
      </c>
      <c r="G36" s="4">
        <v>12662</v>
      </c>
      <c r="H36" s="5">
        <v>0.9</v>
      </c>
      <c r="I36" s="4">
        <v>33093</v>
      </c>
      <c r="J36" s="4">
        <v>152502</v>
      </c>
      <c r="K36" s="4">
        <v>37091</v>
      </c>
      <c r="L36" s="4">
        <v>-31401</v>
      </c>
      <c r="M36" s="4">
        <v>-8298</v>
      </c>
      <c r="N36" s="5">
        <v>5.1402999999999999</v>
      </c>
      <c r="O36" s="5">
        <v>2.5999999999999999E-2</v>
      </c>
      <c r="P36" s="6">
        <v>8.3027999999999995</v>
      </c>
      <c r="Q36" s="6">
        <v>6.4177999999999997</v>
      </c>
      <c r="R36" s="7">
        <v>8.0922000000000001</v>
      </c>
      <c r="S36" s="5">
        <v>11.4221</v>
      </c>
      <c r="T36" s="5">
        <v>-0.151</v>
      </c>
      <c r="U36" s="5">
        <v>9.5158000000000005</v>
      </c>
      <c r="V36" s="4">
        <v>80110</v>
      </c>
      <c r="W36" s="5">
        <v>2.1301000000000001</v>
      </c>
      <c r="X36" s="4">
        <f t="shared" si="3"/>
        <v>45583</v>
      </c>
      <c r="Y36" s="4">
        <f t="shared" si="4"/>
        <v>52610</v>
      </c>
      <c r="Z36">
        <f t="shared" si="5"/>
        <v>0</v>
      </c>
    </row>
    <row r="37" spans="1:26" x14ac:dyDescent="0.3">
      <c r="A37">
        <v>2016</v>
      </c>
      <c r="B37" t="s">
        <v>26</v>
      </c>
      <c r="C37" t="s">
        <v>24</v>
      </c>
      <c r="D37" s="5">
        <v>530.84</v>
      </c>
      <c r="E37" s="3">
        <v>90272</v>
      </c>
      <c r="F37" s="4">
        <v>55134</v>
      </c>
      <c r="G37" s="4">
        <v>19478</v>
      </c>
      <c r="H37" s="5">
        <v>1.3925000000000001</v>
      </c>
      <c r="I37" s="4">
        <v>29860</v>
      </c>
      <c r="J37" s="4">
        <v>139036</v>
      </c>
      <c r="K37" s="4">
        <v>36036</v>
      </c>
      <c r="L37" s="4">
        <v>-31165</v>
      </c>
      <c r="M37" s="4">
        <v>-8332</v>
      </c>
      <c r="N37" s="5">
        <v>6.2907999999999999</v>
      </c>
      <c r="O37" s="5">
        <v>2.8299999999999999E-2</v>
      </c>
      <c r="P37" s="6">
        <v>14.0093</v>
      </c>
      <c r="Q37" s="6">
        <v>11.6289</v>
      </c>
      <c r="R37" s="7">
        <v>13.623699999999999</v>
      </c>
      <c r="S37" s="5">
        <v>21.577000000000002</v>
      </c>
      <c r="T37" s="5">
        <v>0.62490000000000001</v>
      </c>
      <c r="U37" s="5">
        <v>16.3323</v>
      </c>
      <c r="V37" s="4">
        <v>72053</v>
      </c>
      <c r="W37" s="5">
        <v>1.2616000000000001</v>
      </c>
      <c r="X37" s="4">
        <f t="shared" si="3"/>
        <v>35138</v>
      </c>
      <c r="Y37" s="4">
        <f t="shared" si="4"/>
        <v>35656</v>
      </c>
      <c r="Z37">
        <f t="shared" si="5"/>
        <v>0</v>
      </c>
    </row>
    <row r="38" spans="1:26" x14ac:dyDescent="0.3">
      <c r="A38">
        <v>2015</v>
      </c>
      <c r="B38" t="s">
        <v>26</v>
      </c>
      <c r="C38" t="s">
        <v>24</v>
      </c>
      <c r="D38" s="5">
        <v>521.66999999999996</v>
      </c>
      <c r="E38" s="3">
        <v>74989</v>
      </c>
      <c r="F38" s="4">
        <v>46825</v>
      </c>
      <c r="G38" s="4">
        <v>15826</v>
      </c>
      <c r="H38" s="5">
        <v>1.1419999999999999</v>
      </c>
      <c r="I38" s="4">
        <v>24423</v>
      </c>
      <c r="J38" s="4">
        <v>120331</v>
      </c>
      <c r="K38" s="4">
        <v>26572</v>
      </c>
      <c r="L38" s="4">
        <v>-23711</v>
      </c>
      <c r="M38" s="4">
        <v>-4225</v>
      </c>
      <c r="N38" s="5">
        <v>4.6666999999999996</v>
      </c>
      <c r="O38" s="5">
        <v>4.3400000000000001E-2</v>
      </c>
      <c r="P38" s="6">
        <v>13.585900000000001</v>
      </c>
      <c r="Q38" s="6">
        <v>11.0863</v>
      </c>
      <c r="R38" s="7">
        <v>13.3643</v>
      </c>
      <c r="S38" s="5">
        <v>21.104399999999998</v>
      </c>
      <c r="T38" s="5">
        <v>0.3054</v>
      </c>
      <c r="U38" s="5">
        <v>16.248100000000001</v>
      </c>
      <c r="V38" s="4">
        <v>61814</v>
      </c>
      <c r="W38" s="5">
        <v>0.1186</v>
      </c>
      <c r="X38" s="4">
        <f t="shared" si="3"/>
        <v>28164</v>
      </c>
      <c r="Y38" s="4">
        <f t="shared" si="4"/>
        <v>30999</v>
      </c>
      <c r="Z38">
        <f t="shared" si="5"/>
        <v>0</v>
      </c>
    </row>
    <row r="39" spans="1:26" x14ac:dyDescent="0.3">
      <c r="A39">
        <v>2014</v>
      </c>
      <c r="B39" t="s">
        <v>26</v>
      </c>
      <c r="C39" t="s">
        <v>24</v>
      </c>
      <c r="D39" s="5">
        <v>354.75</v>
      </c>
      <c r="E39" s="3">
        <v>66001</v>
      </c>
      <c r="F39" s="4">
        <v>40310</v>
      </c>
      <c r="G39" s="4">
        <v>14136</v>
      </c>
      <c r="H39" s="5">
        <v>1.0285</v>
      </c>
      <c r="I39" s="4">
        <v>21475</v>
      </c>
      <c r="J39" s="4">
        <v>103860</v>
      </c>
      <c r="K39" s="4">
        <v>23024</v>
      </c>
      <c r="L39" s="4">
        <v>-21055</v>
      </c>
      <c r="M39" s="4">
        <v>-2087</v>
      </c>
      <c r="N39" s="5">
        <v>4.6878000000000002</v>
      </c>
      <c r="O39" s="5">
        <v>5.04E-2</v>
      </c>
      <c r="P39" s="6">
        <v>13.113799999999999</v>
      </c>
      <c r="Q39" s="6">
        <v>10.542899999999999</v>
      </c>
      <c r="R39" s="7">
        <v>12.718500000000001</v>
      </c>
      <c r="S39" s="5">
        <v>21.417899999999999</v>
      </c>
      <c r="T39" s="5">
        <v>4.6300000000000001E-2</v>
      </c>
      <c r="U39" s="5">
        <v>16.281400000000001</v>
      </c>
      <c r="V39" s="4">
        <v>53600</v>
      </c>
      <c r="W39" s="5">
        <v>1.6222000000000001</v>
      </c>
      <c r="X39" s="4">
        <f t="shared" si="3"/>
        <v>25691</v>
      </c>
      <c r="Y39" s="4">
        <f t="shared" si="4"/>
        <v>26174</v>
      </c>
      <c r="Z39">
        <f t="shared" si="5"/>
        <v>0</v>
      </c>
    </row>
    <row r="40" spans="1:26" x14ac:dyDescent="0.3">
      <c r="A40">
        <v>2013</v>
      </c>
      <c r="B40" t="s">
        <v>26</v>
      </c>
      <c r="C40" t="s">
        <v>24</v>
      </c>
      <c r="D40" s="5">
        <v>371.53</v>
      </c>
      <c r="E40" s="3">
        <v>55519</v>
      </c>
      <c r="F40" s="4">
        <v>33526</v>
      </c>
      <c r="G40" s="4">
        <v>12733</v>
      </c>
      <c r="H40" s="5">
        <v>0.9395</v>
      </c>
      <c r="I40" s="4">
        <v>19342</v>
      </c>
      <c r="J40" s="4">
        <v>87309</v>
      </c>
      <c r="K40" s="4">
        <v>18659</v>
      </c>
      <c r="L40" s="4">
        <v>-13679</v>
      </c>
      <c r="M40" s="4">
        <v>-857</v>
      </c>
      <c r="N40" s="5">
        <v>4.5816999999999997</v>
      </c>
      <c r="O40" s="5">
        <v>6.0100000000000001E-2</v>
      </c>
      <c r="P40" s="6">
        <v>15.072900000000001</v>
      </c>
      <c r="Q40" s="6">
        <v>11.8644</v>
      </c>
      <c r="R40" s="7">
        <v>14.6965</v>
      </c>
      <c r="S40" s="5">
        <v>22.9345</v>
      </c>
      <c r="T40" s="5">
        <v>-0.23730000000000001</v>
      </c>
      <c r="U40" s="5">
        <v>18.867100000000001</v>
      </c>
      <c r="V40" s="4">
        <v>47756</v>
      </c>
      <c r="W40" s="5">
        <v>1.4648000000000001</v>
      </c>
      <c r="X40" s="4">
        <f t="shared" si="3"/>
        <v>21993</v>
      </c>
      <c r="Y40" s="4">
        <f t="shared" si="4"/>
        <v>20793</v>
      </c>
      <c r="Z40">
        <f t="shared" si="5"/>
        <v>0</v>
      </c>
    </row>
    <row r="41" spans="1:26" x14ac:dyDescent="0.3">
      <c r="A41">
        <v>2012</v>
      </c>
      <c r="B41" t="s">
        <v>26</v>
      </c>
      <c r="C41" t="s">
        <v>24</v>
      </c>
      <c r="D41" s="5">
        <v>230.54</v>
      </c>
      <c r="E41" s="3">
        <v>46039</v>
      </c>
      <c r="F41" s="4">
        <v>28863</v>
      </c>
      <c r="G41" s="4">
        <v>10737</v>
      </c>
      <c r="H41" s="5">
        <v>0.80800000000000005</v>
      </c>
      <c r="I41" s="4">
        <v>16796</v>
      </c>
      <c r="J41" s="4">
        <v>71715</v>
      </c>
      <c r="K41" s="4">
        <v>16619</v>
      </c>
      <c r="L41" s="4">
        <v>-13056</v>
      </c>
      <c r="M41" s="4">
        <v>1229</v>
      </c>
      <c r="N41" s="5">
        <v>4.2165999999999997</v>
      </c>
      <c r="O41" s="5">
        <v>7.7200000000000005E-2</v>
      </c>
      <c r="P41" s="6">
        <v>16.1096</v>
      </c>
      <c r="Q41" s="6">
        <v>12.3169</v>
      </c>
      <c r="R41" s="7">
        <v>15.465199999999999</v>
      </c>
      <c r="S41" s="5">
        <v>23.3215</v>
      </c>
      <c r="T41" s="5">
        <v>0.15390000000000001</v>
      </c>
      <c r="U41" s="5">
        <v>21.512</v>
      </c>
      <c r="V41" s="4">
        <v>53861</v>
      </c>
      <c r="W41" s="5">
        <v>2.0693000000000001</v>
      </c>
      <c r="X41" s="4">
        <f t="shared" si="3"/>
        <v>17176</v>
      </c>
      <c r="Y41" s="4">
        <f t="shared" si="4"/>
        <v>18126</v>
      </c>
      <c r="Z41">
        <f t="shared" si="5"/>
        <v>0</v>
      </c>
    </row>
    <row r="42" spans="1:26" x14ac:dyDescent="0.3">
      <c r="A42">
        <v>2011</v>
      </c>
      <c r="B42" t="s">
        <v>26</v>
      </c>
      <c r="C42" t="s">
        <v>24</v>
      </c>
      <c r="D42" s="5">
        <v>207.65</v>
      </c>
      <c r="E42" s="3">
        <v>37905</v>
      </c>
      <c r="F42" s="4">
        <v>24717</v>
      </c>
      <c r="G42" s="4">
        <v>9737</v>
      </c>
      <c r="H42" s="5">
        <v>0.74399999999999999</v>
      </c>
      <c r="I42" s="4">
        <v>13593</v>
      </c>
      <c r="J42" s="4">
        <v>58145</v>
      </c>
      <c r="K42" s="4">
        <v>14565</v>
      </c>
      <c r="L42" s="4">
        <v>-19041</v>
      </c>
      <c r="M42" s="4">
        <v>807</v>
      </c>
      <c r="N42" s="5">
        <v>5.9192</v>
      </c>
      <c r="O42" s="5">
        <v>7.2300000000000003E-2</v>
      </c>
      <c r="P42" s="6">
        <v>16.746099999999998</v>
      </c>
      <c r="Q42" s="6">
        <v>13.416700000000001</v>
      </c>
      <c r="R42" s="7">
        <v>15.928100000000001</v>
      </c>
      <c r="S42" s="5">
        <v>25.687899999999999</v>
      </c>
      <c r="T42" s="5">
        <v>0.3039</v>
      </c>
      <c r="U42" s="5">
        <v>19.7822</v>
      </c>
      <c r="V42" s="4">
        <v>32467</v>
      </c>
      <c r="W42" s="5">
        <v>3.1568000000000001</v>
      </c>
      <c r="X42" s="4">
        <f t="shared" si="3"/>
        <v>13188</v>
      </c>
      <c r="Y42" s="4">
        <f t="shared" si="4"/>
        <v>14980</v>
      </c>
      <c r="Z42">
        <f t="shared" si="5"/>
        <v>0</v>
      </c>
    </row>
    <row r="43" spans="1:26" x14ac:dyDescent="0.3">
      <c r="A43">
        <v>2010</v>
      </c>
      <c r="B43" t="s">
        <v>26</v>
      </c>
      <c r="C43" t="s">
        <v>24</v>
      </c>
      <c r="D43" s="5">
        <v>188.54</v>
      </c>
      <c r="E43" s="3">
        <v>29321</v>
      </c>
      <c r="F43" s="4">
        <v>18904</v>
      </c>
      <c r="G43" s="4">
        <v>8505</v>
      </c>
      <c r="H43" s="5">
        <v>0.65780000000000005</v>
      </c>
      <c r="I43" s="4">
        <v>11777</v>
      </c>
      <c r="J43" s="4">
        <v>46241</v>
      </c>
      <c r="K43" s="4">
        <v>11081</v>
      </c>
      <c r="L43" s="4">
        <v>-10680</v>
      </c>
      <c r="M43" s="4">
        <v>3050</v>
      </c>
      <c r="N43" s="5">
        <v>4.1578999999999997</v>
      </c>
      <c r="O43" s="5">
        <v>7.4899999999999994E-2</v>
      </c>
      <c r="P43" s="6">
        <v>18.392800000000001</v>
      </c>
      <c r="Q43" s="6">
        <v>14.701599999999999</v>
      </c>
      <c r="R43" s="7">
        <v>18.392800000000001</v>
      </c>
      <c r="S43" s="5">
        <v>29.006499999999999</v>
      </c>
      <c r="T43" s="5">
        <v>-0.1195</v>
      </c>
      <c r="U43" s="5">
        <v>21.840699999999998</v>
      </c>
      <c r="V43" s="4">
        <v>24400</v>
      </c>
      <c r="W43" s="5">
        <v>1.64</v>
      </c>
      <c r="X43" s="4">
        <f t="shared" si="3"/>
        <v>10417</v>
      </c>
      <c r="Y43" s="4">
        <f t="shared" si="4"/>
        <v>10399</v>
      </c>
      <c r="Z43">
        <f t="shared" si="5"/>
        <v>0</v>
      </c>
    </row>
    <row r="44" spans="1:26" x14ac:dyDescent="0.3">
      <c r="A44">
        <v>2009</v>
      </c>
      <c r="B44" t="s">
        <v>26</v>
      </c>
      <c r="C44" t="s">
        <v>24</v>
      </c>
      <c r="D44" s="5">
        <v>195.27</v>
      </c>
      <c r="E44" s="3">
        <v>23651</v>
      </c>
      <c r="F44" s="4">
        <v>14807</v>
      </c>
      <c r="G44" s="4">
        <v>6520</v>
      </c>
      <c r="H44" s="5">
        <v>0.51029999999999998</v>
      </c>
      <c r="I44" s="4">
        <v>9836</v>
      </c>
      <c r="J44" s="4">
        <v>36004</v>
      </c>
      <c r="K44" s="4">
        <v>9316</v>
      </c>
      <c r="L44" s="4">
        <v>-8019</v>
      </c>
      <c r="M44" s="4">
        <v>233</v>
      </c>
      <c r="N44" s="5">
        <v>10.617800000000001</v>
      </c>
      <c r="O44" s="5">
        <v>0</v>
      </c>
      <c r="P44" s="6">
        <v>18.109100000000002</v>
      </c>
      <c r="Q44" s="6">
        <v>16.100000000000001</v>
      </c>
      <c r="R44" s="7">
        <v>18.109100000000002</v>
      </c>
      <c r="S44" s="5">
        <v>27.567499999999999</v>
      </c>
      <c r="T44" s="5">
        <v>0.66569999999999996</v>
      </c>
      <c r="U44" s="5">
        <v>21.499700000000001</v>
      </c>
      <c r="V44" s="4">
        <v>19835</v>
      </c>
      <c r="W44" s="5">
        <v>-0.35549999999999998</v>
      </c>
      <c r="X44" s="4">
        <f t="shared" si="3"/>
        <v>8844</v>
      </c>
      <c r="Y44" s="4">
        <f t="shared" si="4"/>
        <v>8287</v>
      </c>
      <c r="Z44">
        <f t="shared" si="5"/>
        <v>0</v>
      </c>
    </row>
    <row r="45" spans="1:26" x14ac:dyDescent="0.3">
      <c r="A45">
        <v>2022</v>
      </c>
      <c r="B45" t="s">
        <v>27</v>
      </c>
      <c r="C45" t="s">
        <v>28</v>
      </c>
      <c r="D45" s="5">
        <v>81.19</v>
      </c>
      <c r="E45" s="3">
        <v>27518</v>
      </c>
      <c r="F45" s="4">
        <v>11653</v>
      </c>
      <c r="G45" s="4">
        <v>2419</v>
      </c>
      <c r="H45" s="5">
        <v>2.09</v>
      </c>
      <c r="I45" s="4">
        <v>5154</v>
      </c>
      <c r="J45" s="4">
        <v>20274</v>
      </c>
      <c r="K45" s="4">
        <v>5813</v>
      </c>
      <c r="L45" s="4">
        <v>-3421</v>
      </c>
      <c r="M45" s="4">
        <v>-1110</v>
      </c>
      <c r="N45" s="5">
        <v>1.2753000000000001</v>
      </c>
      <c r="O45" s="5">
        <v>0.51380000000000003</v>
      </c>
      <c r="P45" s="6">
        <v>11.9315</v>
      </c>
      <c r="Q45" s="6">
        <v>3.073</v>
      </c>
      <c r="R45" s="7">
        <v>7.8818000000000001</v>
      </c>
      <c r="S45" s="5">
        <v>8.7905999999999995</v>
      </c>
      <c r="T45" s="5">
        <v>0.28799999999999998</v>
      </c>
      <c r="U45" s="5">
        <v>29.2256</v>
      </c>
      <c r="V45" s="4">
        <v>29900</v>
      </c>
      <c r="W45" s="5">
        <v>8.0028000000000006</v>
      </c>
      <c r="X45" s="4">
        <f t="shared" si="3"/>
        <v>15865</v>
      </c>
      <c r="Y45" s="4">
        <f t="shared" si="4"/>
        <v>9234</v>
      </c>
      <c r="Z45">
        <f t="shared" si="5"/>
        <v>0</v>
      </c>
    </row>
    <row r="46" spans="1:26" x14ac:dyDescent="0.3">
      <c r="A46">
        <v>2021</v>
      </c>
      <c r="B46" t="s">
        <v>27</v>
      </c>
      <c r="C46" t="s">
        <v>28</v>
      </c>
      <c r="D46" s="5">
        <v>221.57</v>
      </c>
      <c r="E46" s="3">
        <v>25371</v>
      </c>
      <c r="F46" s="4">
        <v>11921</v>
      </c>
      <c r="G46" s="4">
        <v>4169</v>
      </c>
      <c r="H46" s="5">
        <v>3.52</v>
      </c>
      <c r="I46" s="4">
        <v>5527</v>
      </c>
      <c r="J46" s="4">
        <v>21727</v>
      </c>
      <c r="K46" s="4">
        <v>5797</v>
      </c>
      <c r="L46" s="4">
        <v>-5149</v>
      </c>
      <c r="M46" s="4">
        <v>-557</v>
      </c>
      <c r="N46" s="5">
        <v>1.2218</v>
      </c>
      <c r="O46" s="5">
        <v>0.3705</v>
      </c>
      <c r="P46" s="6">
        <v>19.188099999999999</v>
      </c>
      <c r="Q46" s="6">
        <v>5.4997999999999996</v>
      </c>
      <c r="R46" s="7">
        <v>14.001200000000001</v>
      </c>
      <c r="S46" s="5">
        <v>16.432200000000002</v>
      </c>
      <c r="T46" s="5">
        <v>-0.48430000000000001</v>
      </c>
      <c r="U46" s="5">
        <v>46.627899999999997</v>
      </c>
      <c r="V46" s="4">
        <v>30900</v>
      </c>
      <c r="W46" s="5">
        <v>4.6978999999999997</v>
      </c>
      <c r="X46" s="4">
        <f t="shared" si="3"/>
        <v>13450</v>
      </c>
      <c r="Y46" s="4">
        <f t="shared" si="4"/>
        <v>7752</v>
      </c>
      <c r="Z46">
        <f t="shared" si="5"/>
        <v>0</v>
      </c>
    </row>
    <row r="47" spans="1:26" x14ac:dyDescent="0.3">
      <c r="A47">
        <v>2020</v>
      </c>
      <c r="B47" t="s">
        <v>27</v>
      </c>
      <c r="C47" t="s">
        <v>28</v>
      </c>
      <c r="D47" s="5">
        <v>274.41000000000003</v>
      </c>
      <c r="E47" s="3">
        <v>21454</v>
      </c>
      <c r="F47" s="4">
        <v>10001</v>
      </c>
      <c r="G47" s="4">
        <v>4202</v>
      </c>
      <c r="H47" s="5">
        <v>3.54</v>
      </c>
      <c r="I47" s="4">
        <v>4478</v>
      </c>
      <c r="J47" s="4">
        <v>20063</v>
      </c>
      <c r="K47" s="4">
        <v>6219</v>
      </c>
      <c r="L47" s="4">
        <v>-16545</v>
      </c>
      <c r="M47" s="4">
        <v>12454</v>
      </c>
      <c r="N47" s="5">
        <v>1.3264</v>
      </c>
      <c r="O47" s="5">
        <v>0.44550000000000001</v>
      </c>
      <c r="P47" s="6">
        <v>20.943999999999999</v>
      </c>
      <c r="Q47" s="6">
        <v>5.9705000000000004</v>
      </c>
      <c r="R47" s="7">
        <v>14.4887</v>
      </c>
      <c r="S47" s="5">
        <v>19.586099999999998</v>
      </c>
      <c r="T47" s="5">
        <v>1.7623</v>
      </c>
      <c r="U47" s="5">
        <v>42.5304</v>
      </c>
      <c r="V47" s="4">
        <v>26500</v>
      </c>
      <c r="W47" s="5">
        <v>1.2336</v>
      </c>
      <c r="X47" s="4">
        <f t="shared" si="3"/>
        <v>11453</v>
      </c>
      <c r="Y47" s="4">
        <f t="shared" si="4"/>
        <v>5799</v>
      </c>
      <c r="Z47">
        <f t="shared" si="5"/>
        <v>0</v>
      </c>
    </row>
    <row r="48" spans="1:26" x14ac:dyDescent="0.3">
      <c r="A48">
        <v>2019</v>
      </c>
      <c r="B48" t="s">
        <v>27</v>
      </c>
      <c r="C48" t="s">
        <v>28</v>
      </c>
      <c r="D48" s="5">
        <v>127.01</v>
      </c>
      <c r="E48" s="3">
        <v>17772</v>
      </c>
      <c r="F48" s="4">
        <v>7987</v>
      </c>
      <c r="G48" s="4">
        <v>2459</v>
      </c>
      <c r="H48" s="5">
        <v>2.0699999999999998</v>
      </c>
      <c r="I48" s="4">
        <v>3631</v>
      </c>
      <c r="J48" s="4">
        <v>16929</v>
      </c>
      <c r="K48" s="4">
        <v>4071</v>
      </c>
      <c r="L48" s="4">
        <v>-5742</v>
      </c>
      <c r="M48" s="4">
        <v>4187</v>
      </c>
      <c r="N48" s="5">
        <v>1.43</v>
      </c>
      <c r="O48" s="5">
        <v>0.29330000000000001</v>
      </c>
      <c r="P48" s="6">
        <v>14.525399999999999</v>
      </c>
      <c r="Q48" s="6">
        <v>4.7903000000000002</v>
      </c>
      <c r="R48" s="7">
        <v>11.231400000000001</v>
      </c>
      <c r="S48" s="5">
        <v>13.836399999999999</v>
      </c>
      <c r="T48" s="5">
        <v>-1.0250999999999999</v>
      </c>
      <c r="U48" s="5">
        <v>24.7409</v>
      </c>
      <c r="V48" s="4">
        <v>23200</v>
      </c>
      <c r="W48" s="5">
        <v>1.8122</v>
      </c>
      <c r="X48" s="4">
        <f t="shared" si="3"/>
        <v>9785</v>
      </c>
      <c r="Y48" s="4">
        <f t="shared" si="4"/>
        <v>5528</v>
      </c>
      <c r="Z48">
        <f t="shared" si="5"/>
        <v>0</v>
      </c>
    </row>
    <row r="49" spans="1:26" x14ac:dyDescent="0.3">
      <c r="A49">
        <v>2018</v>
      </c>
      <c r="B49" t="s">
        <v>27</v>
      </c>
      <c r="C49" t="s">
        <v>28</v>
      </c>
      <c r="D49" s="5">
        <v>99.09</v>
      </c>
      <c r="E49" s="3">
        <v>15451</v>
      </c>
      <c r="F49" s="4">
        <v>7189</v>
      </c>
      <c r="G49" s="4">
        <v>2057</v>
      </c>
      <c r="H49" s="5">
        <v>1.71</v>
      </c>
      <c r="I49" s="4">
        <v>2970</v>
      </c>
      <c r="J49" s="4">
        <v>15386</v>
      </c>
      <c r="K49" s="4">
        <v>5480</v>
      </c>
      <c r="L49" s="4">
        <v>821</v>
      </c>
      <c r="M49" s="4">
        <v>-1240</v>
      </c>
      <c r="N49" s="5">
        <v>1.2725</v>
      </c>
      <c r="O49" s="5">
        <v>0.12989999999999999</v>
      </c>
      <c r="P49" s="6">
        <v>13.369300000000001</v>
      </c>
      <c r="Q49" s="6">
        <v>4.7470999999999997</v>
      </c>
      <c r="R49" s="7">
        <v>13.369300000000001</v>
      </c>
      <c r="S49" s="5">
        <v>13.3131</v>
      </c>
      <c r="T49" s="5">
        <v>2.347</v>
      </c>
      <c r="U49" s="5">
        <v>24.852</v>
      </c>
      <c r="V49" s="4">
        <v>21800</v>
      </c>
      <c r="W49" s="5">
        <v>2.4426000000000001</v>
      </c>
      <c r="X49" s="4">
        <f t="shared" si="3"/>
        <v>8262</v>
      </c>
      <c r="Y49" s="4">
        <f t="shared" si="4"/>
        <v>5132</v>
      </c>
      <c r="Z49">
        <f t="shared" si="5"/>
        <v>0</v>
      </c>
    </row>
    <row r="50" spans="1:26" x14ac:dyDescent="0.3">
      <c r="A50">
        <v>2017</v>
      </c>
      <c r="B50" t="s">
        <v>27</v>
      </c>
      <c r="C50" t="s">
        <v>28</v>
      </c>
      <c r="D50" s="5">
        <v>88.48</v>
      </c>
      <c r="E50" s="3">
        <v>13094</v>
      </c>
      <c r="F50" s="4">
        <v>6399</v>
      </c>
      <c r="G50" s="4">
        <v>1795</v>
      </c>
      <c r="H50" s="5">
        <v>1.47</v>
      </c>
      <c r="I50" s="4">
        <v>2932</v>
      </c>
      <c r="J50" s="4">
        <v>15994</v>
      </c>
      <c r="K50" s="4">
        <v>2531</v>
      </c>
      <c r="L50" s="4">
        <v>-4485</v>
      </c>
      <c r="M50" s="4">
        <v>4084</v>
      </c>
      <c r="N50" s="5">
        <v>1.4278999999999999</v>
      </c>
      <c r="O50" s="5">
        <v>6.25E-2</v>
      </c>
      <c r="P50" s="6">
        <v>11.223000000000001</v>
      </c>
      <c r="Q50" s="6">
        <v>4.4023000000000003</v>
      </c>
      <c r="R50" s="7">
        <v>11.223000000000001</v>
      </c>
      <c r="S50" s="5">
        <v>13.708600000000001</v>
      </c>
      <c r="T50" s="5">
        <v>-0.51690000000000003</v>
      </c>
      <c r="U50" s="5">
        <v>15.6264</v>
      </c>
      <c r="V50" s="4">
        <v>18700</v>
      </c>
      <c r="W50" s="5">
        <v>2.1301000000000001</v>
      </c>
      <c r="X50" s="4">
        <f t="shared" si="3"/>
        <v>6695</v>
      </c>
      <c r="Y50" s="4">
        <f t="shared" si="4"/>
        <v>4604</v>
      </c>
      <c r="Z50">
        <f t="shared" si="5"/>
        <v>0</v>
      </c>
    </row>
    <row r="51" spans="1:26" x14ac:dyDescent="0.3">
      <c r="A51">
        <v>2016</v>
      </c>
      <c r="B51" t="s">
        <v>27</v>
      </c>
      <c r="C51" t="s">
        <v>28</v>
      </c>
      <c r="D51" s="5">
        <v>47.63</v>
      </c>
      <c r="E51" s="3">
        <v>10842</v>
      </c>
      <c r="F51" s="4">
        <v>5141</v>
      </c>
      <c r="G51" s="4">
        <v>1401</v>
      </c>
      <c r="H51" s="5">
        <v>1.1499999999999999</v>
      </c>
      <c r="I51" s="4">
        <v>2310</v>
      </c>
      <c r="J51" s="4">
        <v>14712</v>
      </c>
      <c r="K51" s="4">
        <v>3158</v>
      </c>
      <c r="L51" s="4">
        <v>-5904</v>
      </c>
      <c r="M51" s="4">
        <v>2038</v>
      </c>
      <c r="N51" s="5">
        <v>1.5246</v>
      </c>
      <c r="O51" s="5">
        <v>0</v>
      </c>
      <c r="P51" s="6">
        <v>9.5228000000000002</v>
      </c>
      <c r="Q51" s="6">
        <v>4.2321999999999997</v>
      </c>
      <c r="R51" s="7">
        <v>9.5228000000000002</v>
      </c>
      <c r="S51" s="5">
        <v>12.922000000000001</v>
      </c>
      <c r="T51" s="5">
        <v>0.53820000000000001</v>
      </c>
      <c r="U51" s="5">
        <v>13.417</v>
      </c>
      <c r="V51" s="4">
        <v>18100</v>
      </c>
      <c r="W51" s="5">
        <v>1.2616000000000001</v>
      </c>
      <c r="X51" s="4">
        <f t="shared" si="3"/>
        <v>5701</v>
      </c>
      <c r="Y51" s="4">
        <f t="shared" si="4"/>
        <v>3740</v>
      </c>
      <c r="Z51">
        <f t="shared" si="5"/>
        <v>0</v>
      </c>
    </row>
    <row r="52" spans="1:26" x14ac:dyDescent="0.3">
      <c r="A52">
        <v>2015</v>
      </c>
      <c r="B52" t="s">
        <v>27</v>
      </c>
      <c r="C52" t="s">
        <v>28</v>
      </c>
      <c r="D52" s="5">
        <v>44.23</v>
      </c>
      <c r="E52" s="3">
        <v>9248</v>
      </c>
      <c r="F52" s="4">
        <v>4719</v>
      </c>
      <c r="G52" s="4">
        <v>1228</v>
      </c>
      <c r="H52" s="5">
        <v>1</v>
      </c>
      <c r="I52" s="4">
        <v>2069</v>
      </c>
      <c r="J52" s="4">
        <v>13759</v>
      </c>
      <c r="K52" s="4">
        <v>2546</v>
      </c>
      <c r="L52" s="4">
        <v>-8038</v>
      </c>
      <c r="M52" s="4">
        <v>4728</v>
      </c>
      <c r="N52" s="5">
        <v>1.5163</v>
      </c>
      <c r="O52" s="5">
        <v>0</v>
      </c>
      <c r="P52" s="6">
        <v>8.9251000000000005</v>
      </c>
      <c r="Q52" s="6">
        <v>4.2519</v>
      </c>
      <c r="R52" s="7">
        <v>8.9251000000000005</v>
      </c>
      <c r="S52" s="5">
        <v>13.278600000000001</v>
      </c>
      <c r="T52" s="5">
        <v>9.35E-2</v>
      </c>
      <c r="U52" s="5">
        <v>13.159000000000001</v>
      </c>
      <c r="V52" s="4">
        <v>16800</v>
      </c>
      <c r="W52" s="5">
        <v>0.1186</v>
      </c>
      <c r="X52" s="4">
        <f t="shared" si="3"/>
        <v>4529</v>
      </c>
      <c r="Y52" s="4">
        <f t="shared" si="4"/>
        <v>3491</v>
      </c>
      <c r="Z52">
        <f t="shared" si="5"/>
        <v>0</v>
      </c>
    </row>
    <row r="53" spans="1:26" x14ac:dyDescent="0.3">
      <c r="A53">
        <v>2014</v>
      </c>
      <c r="B53" t="s">
        <v>27</v>
      </c>
      <c r="C53" t="s">
        <v>28</v>
      </c>
      <c r="D53" s="5">
        <v>93.784999999999997</v>
      </c>
      <c r="E53" s="3">
        <v>8025</v>
      </c>
      <c r="F53" s="4">
        <v>4218</v>
      </c>
      <c r="G53" s="4">
        <v>419</v>
      </c>
      <c r="H53" s="5">
        <v>0.34</v>
      </c>
      <c r="I53" s="4">
        <v>1784</v>
      </c>
      <c r="J53" s="4">
        <v>8248</v>
      </c>
      <c r="K53" s="4">
        <v>2220</v>
      </c>
      <c r="L53" s="4">
        <v>-2881</v>
      </c>
      <c r="M53" s="4">
        <v>1284</v>
      </c>
      <c r="N53" s="5">
        <v>1.3224</v>
      </c>
      <c r="O53" s="5">
        <v>0.13250000000000001</v>
      </c>
      <c r="P53" s="6">
        <v>5.08</v>
      </c>
      <c r="Q53" s="6">
        <v>1.9117999999999999</v>
      </c>
      <c r="R53" s="7">
        <v>5.08</v>
      </c>
      <c r="S53" s="5">
        <v>5.2211999999999996</v>
      </c>
      <c r="T53" s="5">
        <v>0.10299999999999999</v>
      </c>
      <c r="U53" s="5">
        <v>8.5457999999999998</v>
      </c>
      <c r="V53" s="4">
        <v>15800</v>
      </c>
      <c r="W53" s="5">
        <v>1.6222000000000001</v>
      </c>
      <c r="X53" s="4">
        <f t="shared" si="3"/>
        <v>3807</v>
      </c>
      <c r="Y53" s="4">
        <f t="shared" si="4"/>
        <v>3799</v>
      </c>
      <c r="Z53">
        <f t="shared" si="5"/>
        <v>0</v>
      </c>
    </row>
    <row r="54" spans="1:26" x14ac:dyDescent="0.3">
      <c r="A54">
        <v>2022</v>
      </c>
      <c r="B54" t="s">
        <v>29</v>
      </c>
      <c r="C54" t="s">
        <v>30</v>
      </c>
      <c r="D54" s="5">
        <v>46.99</v>
      </c>
      <c r="E54" s="3">
        <v>56437</v>
      </c>
      <c r="F54" s="4">
        <v>20762</v>
      </c>
      <c r="G54" s="4">
        <v>10247</v>
      </c>
      <c r="H54" s="5">
        <v>13.01</v>
      </c>
      <c r="I54" s="4">
        <v>20640</v>
      </c>
      <c r="J54" s="4">
        <v>42235</v>
      </c>
      <c r="K54" s="4">
        <v>4207</v>
      </c>
      <c r="L54" s="4">
        <v>-3626</v>
      </c>
      <c r="M54" s="4">
        <v>-676</v>
      </c>
      <c r="N54" s="5">
        <v>1</v>
      </c>
      <c r="O54" s="5">
        <v>0.64349999999999996</v>
      </c>
      <c r="P54" s="6">
        <v>27.008400000000002</v>
      </c>
      <c r="Q54" s="6">
        <v>2.1410999999999998</v>
      </c>
      <c r="R54" s="7">
        <v>16.244599999999998</v>
      </c>
      <c r="S54" s="5">
        <v>18.156500000000001</v>
      </c>
      <c r="T54" s="5">
        <v>-1.9207000000000001</v>
      </c>
      <c r="U54" s="5">
        <v>26.6982</v>
      </c>
      <c r="V54" s="4">
        <v>26200</v>
      </c>
      <c r="W54" s="5">
        <v>8.0028000000000006</v>
      </c>
      <c r="X54" s="4">
        <f t="shared" si="3"/>
        <v>35675</v>
      </c>
      <c r="Y54" s="4">
        <f t="shared" si="4"/>
        <v>10515</v>
      </c>
      <c r="Z54">
        <f t="shared" si="5"/>
        <v>0</v>
      </c>
    </row>
    <row r="55" spans="1:26" x14ac:dyDescent="0.3">
      <c r="A55">
        <v>2021</v>
      </c>
      <c r="B55" t="s">
        <v>29</v>
      </c>
      <c r="C55" t="s">
        <v>30</v>
      </c>
      <c r="D55" s="5">
        <v>47.21</v>
      </c>
      <c r="E55" s="3">
        <v>52057</v>
      </c>
      <c r="F55" s="4">
        <v>15322</v>
      </c>
      <c r="G55" s="4">
        <v>9359</v>
      </c>
      <c r="H55" s="5">
        <v>10.82</v>
      </c>
      <c r="I55" s="4">
        <v>15382</v>
      </c>
      <c r="J55" s="4">
        <v>68912</v>
      </c>
      <c r="K55" s="4">
        <v>6279</v>
      </c>
      <c r="L55" s="4">
        <v>-3280</v>
      </c>
      <c r="M55" s="4">
        <v>-3735</v>
      </c>
      <c r="N55" s="5">
        <v>1</v>
      </c>
      <c r="O55" s="5">
        <v>0.43769999999999998</v>
      </c>
      <c r="P55" s="6">
        <v>14.5016</v>
      </c>
      <c r="Q55" s="6">
        <v>1.6646000000000001</v>
      </c>
      <c r="R55" s="7">
        <v>10.015700000000001</v>
      </c>
      <c r="S55" s="5">
        <v>17.978400000000001</v>
      </c>
      <c r="T55" s="5">
        <v>6.0658000000000003</v>
      </c>
      <c r="U55" s="5">
        <v>14.3995</v>
      </c>
      <c r="V55" s="4">
        <v>36600</v>
      </c>
      <c r="W55" s="5">
        <v>4.6978999999999997</v>
      </c>
      <c r="X55" s="4">
        <f t="shared" si="3"/>
        <v>36735</v>
      </c>
      <c r="Y55" s="4">
        <f t="shared" si="4"/>
        <v>5963</v>
      </c>
      <c r="Z55">
        <f t="shared" si="5"/>
        <v>0</v>
      </c>
    </row>
    <row r="56" spans="1:26" x14ac:dyDescent="0.3">
      <c r="A56">
        <v>2020</v>
      </c>
      <c r="B56" t="s">
        <v>29</v>
      </c>
      <c r="C56" t="s">
        <v>30</v>
      </c>
      <c r="D56" s="5">
        <v>32.619999999999997</v>
      </c>
      <c r="E56" s="3">
        <v>43736</v>
      </c>
      <c r="F56" s="4">
        <v>6912</v>
      </c>
      <c r="G56" s="4">
        <v>-5973</v>
      </c>
      <c r="H56" s="5">
        <v>-6.88</v>
      </c>
      <c r="I56" s="4">
        <v>6821</v>
      </c>
      <c r="J56" s="4">
        <v>67199</v>
      </c>
      <c r="K56" s="4">
        <v>1038</v>
      </c>
      <c r="L56" s="4">
        <v>-6202</v>
      </c>
      <c r="M56" s="4">
        <v>5058</v>
      </c>
      <c r="N56" s="5">
        <v>1</v>
      </c>
      <c r="O56" s="5">
        <v>0.55859999999999999</v>
      </c>
      <c r="P56" s="6">
        <v>-8.7432999999999996</v>
      </c>
      <c r="Q56" s="6">
        <v>-0.99460000000000004</v>
      </c>
      <c r="R56" s="7">
        <v>-5.5693999999999999</v>
      </c>
      <c r="S56" s="5">
        <v>-13.6569</v>
      </c>
      <c r="T56" s="5">
        <v>3.2256</v>
      </c>
      <c r="U56" s="5">
        <v>-8.6801999999999992</v>
      </c>
      <c r="V56" s="4">
        <v>45000</v>
      </c>
      <c r="W56" s="5">
        <v>1.2336</v>
      </c>
      <c r="X56" s="4">
        <f t="shared" si="3"/>
        <v>36824</v>
      </c>
      <c r="Y56" s="4">
        <f t="shared" si="4"/>
        <v>12885</v>
      </c>
      <c r="Z56">
        <f t="shared" si="5"/>
        <v>0</v>
      </c>
    </row>
    <row r="57" spans="1:26" x14ac:dyDescent="0.3">
      <c r="A57">
        <v>2019</v>
      </c>
      <c r="B57" t="s">
        <v>29</v>
      </c>
      <c r="C57" t="s">
        <v>30</v>
      </c>
      <c r="D57" s="5">
        <v>44.65</v>
      </c>
      <c r="E57" s="3">
        <v>49746</v>
      </c>
      <c r="F57" s="4">
        <v>11975</v>
      </c>
      <c r="G57" s="4">
        <v>3326</v>
      </c>
      <c r="H57" s="5">
        <v>3.74</v>
      </c>
      <c r="I57" s="4">
        <v>11817</v>
      </c>
      <c r="J57" s="4">
        <v>67427</v>
      </c>
      <c r="K57" s="4">
        <v>-1807</v>
      </c>
      <c r="L57" s="4">
        <v>-5475</v>
      </c>
      <c r="M57" s="4">
        <v>7258</v>
      </c>
      <c r="N57" s="5">
        <v>1</v>
      </c>
      <c r="O57" s="5">
        <v>0.52429999999999999</v>
      </c>
      <c r="P57" s="6">
        <v>6.1561000000000003</v>
      </c>
      <c r="Q57" s="6">
        <v>0.78490000000000004</v>
      </c>
      <c r="R57" s="7">
        <v>4.0096999999999996</v>
      </c>
      <c r="S57" s="5">
        <v>6.6859999999999999</v>
      </c>
      <c r="T57" s="5">
        <v>-1.5986</v>
      </c>
      <c r="U57" s="5">
        <v>6.1117999999999997</v>
      </c>
      <c r="V57" s="4">
        <v>46000</v>
      </c>
      <c r="W57" s="5">
        <v>1.8122</v>
      </c>
      <c r="X57" s="4">
        <f t="shared" si="3"/>
        <v>37771</v>
      </c>
      <c r="Y57" s="4">
        <f t="shared" si="4"/>
        <v>8649</v>
      </c>
      <c r="Z57">
        <f t="shared" si="5"/>
        <v>0</v>
      </c>
    </row>
    <row r="58" spans="1:26" x14ac:dyDescent="0.3">
      <c r="A58">
        <v>2018</v>
      </c>
      <c r="B58" t="s">
        <v>29</v>
      </c>
      <c r="C58" t="s">
        <v>30</v>
      </c>
      <c r="D58" s="5">
        <v>34.86</v>
      </c>
      <c r="E58" s="3">
        <v>47389</v>
      </c>
      <c r="F58" s="4">
        <v>6921</v>
      </c>
      <c r="G58" s="4">
        <v>-6</v>
      </c>
      <c r="H58" s="5">
        <v>-0.01</v>
      </c>
      <c r="I58" s="4">
        <v>6897</v>
      </c>
      <c r="J58" s="4">
        <v>57309</v>
      </c>
      <c r="K58" s="4">
        <v>-394</v>
      </c>
      <c r="L58" s="4">
        <v>-223</v>
      </c>
      <c r="M58" s="4">
        <v>1249</v>
      </c>
      <c r="N58" s="5">
        <v>1</v>
      </c>
      <c r="O58" s="5">
        <v>0.60270000000000001</v>
      </c>
      <c r="P58" s="6">
        <v>0.1797</v>
      </c>
      <c r="Q58" s="6">
        <v>2.0899999999999998E-2</v>
      </c>
      <c r="R58" s="7">
        <v>0.11210000000000001</v>
      </c>
      <c r="S58" s="5">
        <v>-1.2699999999999999E-2</v>
      </c>
      <c r="T58" s="5">
        <v>7.9684999999999997</v>
      </c>
      <c r="U58" s="5">
        <v>0.1797</v>
      </c>
      <c r="V58" s="4">
        <v>49600</v>
      </c>
      <c r="W58" s="5">
        <v>2.4426000000000001</v>
      </c>
      <c r="X58" s="4">
        <f t="shared" si="3"/>
        <v>40468</v>
      </c>
      <c r="Y58" s="4">
        <f t="shared" si="4"/>
        <v>6927</v>
      </c>
      <c r="Z58">
        <f t="shared" si="5"/>
        <v>0</v>
      </c>
    </row>
    <row r="59" spans="1:26" x14ac:dyDescent="0.3">
      <c r="A59">
        <v>2017</v>
      </c>
      <c r="B59" t="s">
        <v>29</v>
      </c>
      <c r="C59" t="s">
        <v>30</v>
      </c>
      <c r="D59" s="5">
        <v>53.56</v>
      </c>
      <c r="E59" s="3">
        <v>49520</v>
      </c>
      <c r="F59" s="4">
        <v>6849</v>
      </c>
      <c r="G59" s="4">
        <v>-6084</v>
      </c>
      <c r="H59" s="5">
        <v>-6.54</v>
      </c>
      <c r="I59" s="4">
        <v>6435</v>
      </c>
      <c r="J59" s="4">
        <v>65708</v>
      </c>
      <c r="K59" s="4">
        <v>-7818</v>
      </c>
      <c r="L59" s="4">
        <v>14041</v>
      </c>
      <c r="M59" s="4">
        <v>-5697</v>
      </c>
      <c r="N59" s="5">
        <v>1</v>
      </c>
      <c r="O59" s="5">
        <v>0.48149999999999998</v>
      </c>
      <c r="P59" s="6">
        <v>-9.2225999999999999</v>
      </c>
      <c r="Q59" s="6">
        <v>-1.2161</v>
      </c>
      <c r="R59" s="7">
        <v>-6.2251000000000003</v>
      </c>
      <c r="S59" s="5">
        <v>-12.2859</v>
      </c>
      <c r="T59" s="5">
        <v>-11.611000000000001</v>
      </c>
      <c r="U59" s="5">
        <v>-9.2225999999999999</v>
      </c>
      <c r="V59" s="4">
        <v>49800</v>
      </c>
      <c r="W59" s="5">
        <v>2.1301000000000001</v>
      </c>
      <c r="X59" s="4">
        <f t="shared" si="3"/>
        <v>42671</v>
      </c>
      <c r="Y59" s="4">
        <f t="shared" si="4"/>
        <v>12933</v>
      </c>
      <c r="Z59">
        <f t="shared" si="5"/>
        <v>0</v>
      </c>
    </row>
    <row r="60" spans="1:26" x14ac:dyDescent="0.3">
      <c r="A60">
        <v>2016</v>
      </c>
      <c r="B60" t="s">
        <v>29</v>
      </c>
      <c r="C60" t="s">
        <v>30</v>
      </c>
      <c r="D60" s="5">
        <v>67.08</v>
      </c>
      <c r="E60" s="3">
        <v>52367</v>
      </c>
      <c r="F60" s="4">
        <v>5236</v>
      </c>
      <c r="G60" s="4">
        <v>-849</v>
      </c>
      <c r="H60" s="5">
        <v>-0.78</v>
      </c>
      <c r="I60" s="4">
        <v>4805</v>
      </c>
      <c r="J60" s="4">
        <v>76858</v>
      </c>
      <c r="K60" s="4">
        <v>3502</v>
      </c>
      <c r="L60" s="4">
        <v>3252</v>
      </c>
      <c r="M60" s="4">
        <v>-6833</v>
      </c>
      <c r="N60" s="5">
        <v>1</v>
      </c>
      <c r="O60" s="5">
        <v>0.4022</v>
      </c>
      <c r="P60" s="6">
        <v>-0.33700000000000002</v>
      </c>
      <c r="Q60" s="6">
        <v>-5.1999999999999998E-2</v>
      </c>
      <c r="R60" s="7">
        <v>-0.24030000000000001</v>
      </c>
      <c r="S60" s="5">
        <v>-1.6213</v>
      </c>
      <c r="T60" s="5">
        <v>1.0537000000000001</v>
      </c>
      <c r="U60" s="5">
        <v>-0.33700000000000002</v>
      </c>
      <c r="V60" s="4">
        <v>56400</v>
      </c>
      <c r="W60" s="5">
        <v>1.2616000000000001</v>
      </c>
      <c r="X60" s="4">
        <f t="shared" si="3"/>
        <v>47131</v>
      </c>
      <c r="Y60" s="4">
        <f t="shared" si="4"/>
        <v>6085</v>
      </c>
      <c r="Z60">
        <f t="shared" si="5"/>
        <v>0</v>
      </c>
    </row>
    <row r="61" spans="1:26" x14ac:dyDescent="0.3">
      <c r="A61">
        <v>2015</v>
      </c>
      <c r="B61" t="s">
        <v>29</v>
      </c>
      <c r="C61" t="s">
        <v>30</v>
      </c>
      <c r="D61" s="5">
        <v>76.66</v>
      </c>
      <c r="E61" s="3">
        <v>58327</v>
      </c>
      <c r="F61" s="4">
        <v>10565</v>
      </c>
      <c r="G61" s="4">
        <v>2196</v>
      </c>
      <c r="H61" s="5">
        <v>1.65</v>
      </c>
      <c r="I61" s="4">
        <v>9958</v>
      </c>
      <c r="J61" s="4">
        <v>90210</v>
      </c>
      <c r="K61" s="4">
        <v>2877</v>
      </c>
      <c r="L61" s="4">
        <v>8462</v>
      </c>
      <c r="M61" s="4">
        <v>-11429</v>
      </c>
      <c r="N61" s="5">
        <v>1</v>
      </c>
      <c r="O61" s="5">
        <v>0.32419999999999999</v>
      </c>
      <c r="P61" s="6">
        <v>2.4630999999999998</v>
      </c>
      <c r="Q61" s="6">
        <v>0.44719999999999999</v>
      </c>
      <c r="R61" s="7">
        <v>1.8601000000000001</v>
      </c>
      <c r="S61" s="5">
        <v>3.7650000000000001</v>
      </c>
      <c r="T61" s="5">
        <v>-1.3029999999999999</v>
      </c>
      <c r="U61" s="5">
        <v>2.4630999999999998</v>
      </c>
      <c r="V61" s="4">
        <v>66400</v>
      </c>
      <c r="W61" s="5">
        <v>0.1186</v>
      </c>
      <c r="X61" s="4">
        <f t="shared" si="3"/>
        <v>47762</v>
      </c>
      <c r="Y61" s="4">
        <f t="shared" si="4"/>
        <v>8369</v>
      </c>
      <c r="Z61">
        <f t="shared" si="5"/>
        <v>0</v>
      </c>
    </row>
    <row r="62" spans="1:26" x14ac:dyDescent="0.3">
      <c r="A62">
        <v>2014</v>
      </c>
      <c r="B62" t="s">
        <v>29</v>
      </c>
      <c r="C62" t="s">
        <v>30</v>
      </c>
      <c r="D62" s="5">
        <v>78.41</v>
      </c>
      <c r="E62" s="3">
        <v>64406</v>
      </c>
      <c r="F62" s="4">
        <v>19219</v>
      </c>
      <c r="G62" s="4">
        <v>7529</v>
      </c>
      <c r="H62" s="5">
        <v>5.2</v>
      </c>
      <c r="I62" s="4">
        <v>16752</v>
      </c>
      <c r="J62" s="4">
        <v>107272</v>
      </c>
      <c r="K62" s="4">
        <v>5007</v>
      </c>
      <c r="L62" s="4">
        <v>14284</v>
      </c>
      <c r="M62" s="4">
        <v>-19788</v>
      </c>
      <c r="N62" s="5">
        <v>1</v>
      </c>
      <c r="O62" s="5">
        <v>0.29099999999999998</v>
      </c>
      <c r="P62" s="6">
        <v>7.0606</v>
      </c>
      <c r="Q62" s="6">
        <v>1.4690000000000001</v>
      </c>
      <c r="R62" s="7">
        <v>5.4690000000000003</v>
      </c>
      <c r="S62" s="5">
        <v>11.6899</v>
      </c>
      <c r="T62" s="5">
        <v>-0.50070000000000003</v>
      </c>
      <c r="U62" s="5">
        <v>7.0606</v>
      </c>
      <c r="V62" s="4">
        <v>65000</v>
      </c>
      <c r="W62" s="5">
        <v>1.6222000000000001</v>
      </c>
      <c r="X62" s="4">
        <f t="shared" si="3"/>
        <v>45187</v>
      </c>
      <c r="Y62" s="4">
        <f t="shared" si="4"/>
        <v>11690</v>
      </c>
      <c r="Z62">
        <f t="shared" si="5"/>
        <v>0</v>
      </c>
    </row>
    <row r="63" spans="1:26" x14ac:dyDescent="0.3">
      <c r="A63">
        <v>2013</v>
      </c>
      <c r="B63" t="s">
        <v>29</v>
      </c>
      <c r="C63" t="s">
        <v>30</v>
      </c>
      <c r="D63" s="5">
        <v>75.16</v>
      </c>
      <c r="E63" s="3">
        <v>68874</v>
      </c>
      <c r="F63" s="4">
        <v>21915</v>
      </c>
      <c r="G63" s="4">
        <v>9085</v>
      </c>
      <c r="H63" s="5">
        <v>6.13</v>
      </c>
      <c r="I63" s="4">
        <v>16922</v>
      </c>
      <c r="J63" s="4">
        <v>101081</v>
      </c>
      <c r="K63" s="4">
        <v>5865</v>
      </c>
      <c r="L63" s="4">
        <v>7099</v>
      </c>
      <c r="M63" s="4">
        <v>-11758</v>
      </c>
      <c r="N63" s="5">
        <v>1</v>
      </c>
      <c r="O63" s="5">
        <v>0.41249999999999998</v>
      </c>
      <c r="P63" s="6">
        <v>8.9116999999999997</v>
      </c>
      <c r="Q63" s="6">
        <v>1.6640999999999999</v>
      </c>
      <c r="R63" s="7">
        <v>6.3093000000000004</v>
      </c>
      <c r="S63" s="5">
        <v>13.190799999999999</v>
      </c>
      <c r="T63" s="5">
        <v>1.7808999999999999</v>
      </c>
      <c r="U63" s="5">
        <v>8.9116999999999997</v>
      </c>
      <c r="V63" s="4">
        <v>64000</v>
      </c>
      <c r="W63" s="5">
        <v>1.4648000000000001</v>
      </c>
      <c r="X63" s="4">
        <f t="shared" si="3"/>
        <v>46959</v>
      </c>
      <c r="Y63" s="4">
        <f t="shared" si="4"/>
        <v>12830</v>
      </c>
      <c r="Z63">
        <f t="shared" si="5"/>
        <v>0</v>
      </c>
    </row>
    <row r="64" spans="1:26" x14ac:dyDescent="0.3">
      <c r="A64">
        <v>2012</v>
      </c>
      <c r="B64" t="s">
        <v>29</v>
      </c>
      <c r="C64" t="s">
        <v>30</v>
      </c>
      <c r="D64" s="5">
        <v>52.11</v>
      </c>
      <c r="E64" s="3">
        <v>71214</v>
      </c>
      <c r="F64" s="4">
        <v>21825</v>
      </c>
      <c r="G64" s="4">
        <v>3438</v>
      </c>
      <c r="H64" s="5">
        <v>2.04</v>
      </c>
      <c r="I64" s="4">
        <v>19327</v>
      </c>
      <c r="J64" s="4">
        <v>98669</v>
      </c>
      <c r="K64" s="4">
        <v>3676</v>
      </c>
      <c r="L64" s="4">
        <v>16612</v>
      </c>
      <c r="M64" s="4">
        <v>-20564</v>
      </c>
      <c r="N64" s="5">
        <v>1</v>
      </c>
      <c r="O64" s="5">
        <v>0.49149999999999999</v>
      </c>
      <c r="P64" s="6">
        <v>3.7488999999999999</v>
      </c>
      <c r="Q64" s="6">
        <v>0.67420000000000002</v>
      </c>
      <c r="R64" s="7">
        <v>2.5133999999999999</v>
      </c>
      <c r="S64" s="5">
        <v>4.8277000000000001</v>
      </c>
      <c r="T64" s="5">
        <v>2.2237</v>
      </c>
      <c r="U64" s="5">
        <v>3.7488999999999999</v>
      </c>
      <c r="V64" s="4">
        <v>63000</v>
      </c>
      <c r="W64" s="5">
        <v>2.0693000000000001</v>
      </c>
      <c r="X64" s="4">
        <f t="shared" si="3"/>
        <v>49389</v>
      </c>
      <c r="Y64" s="4">
        <f t="shared" si="4"/>
        <v>18387</v>
      </c>
      <c r="Z64">
        <f t="shared" si="5"/>
        <v>0</v>
      </c>
    </row>
    <row r="65" spans="1:26" x14ac:dyDescent="0.3">
      <c r="A65">
        <v>2011</v>
      </c>
      <c r="B65" t="s">
        <v>29</v>
      </c>
      <c r="C65" t="s">
        <v>30</v>
      </c>
      <c r="D65" s="5">
        <v>44.06</v>
      </c>
      <c r="E65" s="3">
        <v>65105</v>
      </c>
      <c r="F65" s="4">
        <v>18692</v>
      </c>
      <c r="G65" s="4">
        <v>19810</v>
      </c>
      <c r="H65" s="5">
        <v>11.01</v>
      </c>
      <c r="I65" s="4">
        <v>15225</v>
      </c>
      <c r="J65" s="4">
        <v>102393</v>
      </c>
      <c r="K65" s="4">
        <v>-81</v>
      </c>
      <c r="L65" s="4">
        <v>36448</v>
      </c>
      <c r="M65" s="4">
        <v>-36926</v>
      </c>
      <c r="N65" s="5">
        <v>1</v>
      </c>
      <c r="O65" s="5">
        <v>0.7349</v>
      </c>
      <c r="P65" s="6">
        <v>18.4222</v>
      </c>
      <c r="Q65" s="6">
        <v>3.4106999999999998</v>
      </c>
      <c r="R65" s="7">
        <v>10.6183</v>
      </c>
      <c r="S65" s="5">
        <v>30.427800000000001</v>
      </c>
      <c r="T65" s="5">
        <v>-121.5022</v>
      </c>
      <c r="U65" s="5">
        <v>18.4222</v>
      </c>
      <c r="V65" s="4">
        <v>57000</v>
      </c>
      <c r="W65" s="5">
        <v>3.1568000000000001</v>
      </c>
      <c r="X65" s="4">
        <f t="shared" si="3"/>
        <v>46413</v>
      </c>
      <c r="Y65" s="4">
        <f t="shared" si="4"/>
        <v>-1118</v>
      </c>
      <c r="Z65">
        <f t="shared" si="5"/>
        <v>0</v>
      </c>
    </row>
    <row r="66" spans="1:26" x14ac:dyDescent="0.3">
      <c r="A66">
        <v>2010</v>
      </c>
      <c r="B66" t="s">
        <v>29</v>
      </c>
      <c r="C66" t="s">
        <v>30</v>
      </c>
      <c r="D66" s="5">
        <v>7.79</v>
      </c>
      <c r="E66" s="3">
        <v>72829</v>
      </c>
      <c r="F66" s="4">
        <v>16787</v>
      </c>
      <c r="G66" s="4">
        <v>2046</v>
      </c>
      <c r="H66" s="5">
        <v>14.98</v>
      </c>
      <c r="I66" s="4">
        <v>21166</v>
      </c>
      <c r="J66" s="4">
        <v>113239</v>
      </c>
      <c r="K66" s="4">
        <v>16597</v>
      </c>
      <c r="L66" s="4">
        <v>-9912</v>
      </c>
      <c r="M66" s="4">
        <v>-9261</v>
      </c>
      <c r="N66" s="5">
        <v>1</v>
      </c>
      <c r="O66" s="5">
        <v>0.75480000000000003</v>
      </c>
      <c r="P66" s="6">
        <v>32.126199999999997</v>
      </c>
      <c r="Q66" s="6">
        <v>1.9393</v>
      </c>
      <c r="R66" s="7">
        <v>6.6699000000000002</v>
      </c>
      <c r="S66" s="5">
        <v>2.8092999999999999</v>
      </c>
      <c r="T66" s="5">
        <v>-15.871499999999999</v>
      </c>
      <c r="U66" s="5">
        <v>11.704499999999999</v>
      </c>
      <c r="V66" s="4">
        <v>63000</v>
      </c>
      <c r="W66" s="5">
        <v>1.64</v>
      </c>
      <c r="X66" s="4">
        <f t="shared" ref="X66:X97" si="6">E66-F66</f>
        <v>56042</v>
      </c>
      <c r="Y66" s="4">
        <f t="shared" ref="Y66:Y97" si="7">F66-G66</f>
        <v>14741</v>
      </c>
      <c r="Z66">
        <f t="shared" ref="Z66:Z97" si="8">COUNTBLANK(A66:Y66)</f>
        <v>0</v>
      </c>
    </row>
    <row r="67" spans="1:26" x14ac:dyDescent="0.3">
      <c r="A67">
        <v>2009</v>
      </c>
      <c r="B67" t="s">
        <v>29</v>
      </c>
      <c r="C67" t="s">
        <v>30</v>
      </c>
      <c r="D67" s="5">
        <v>4.04</v>
      </c>
      <c r="E67" s="3">
        <v>75447</v>
      </c>
      <c r="F67" s="4">
        <v>18614</v>
      </c>
      <c r="G67" s="4">
        <v>-12244</v>
      </c>
      <c r="H67" s="5">
        <v>-90.48</v>
      </c>
      <c r="I67" s="4">
        <v>27765</v>
      </c>
      <c r="J67" s="4">
        <v>98076</v>
      </c>
      <c r="K67" s="4">
        <v>18584</v>
      </c>
      <c r="L67" s="4">
        <v>5778</v>
      </c>
      <c r="M67" s="4">
        <v>-28997</v>
      </c>
      <c r="N67" s="5">
        <v>1</v>
      </c>
      <c r="O67" s="5">
        <v>1.1552</v>
      </c>
      <c r="P67" s="6">
        <v>-45.306100000000001</v>
      </c>
      <c r="Q67" s="6">
        <v>-1.5123</v>
      </c>
      <c r="R67" s="7">
        <v>-6.0640999999999998</v>
      </c>
      <c r="S67" s="5">
        <v>-16.2286</v>
      </c>
      <c r="T67" s="5">
        <v>137.3287</v>
      </c>
      <c r="U67" s="5">
        <v>-13.950699999999999</v>
      </c>
      <c r="V67" s="4">
        <v>96000</v>
      </c>
      <c r="W67" s="5">
        <v>-0.35549999999999998</v>
      </c>
      <c r="X67" s="4">
        <f t="shared" si="6"/>
        <v>56833</v>
      </c>
      <c r="Y67" s="4">
        <f t="shared" si="7"/>
        <v>30858</v>
      </c>
      <c r="Z67">
        <f t="shared" si="8"/>
        <v>0</v>
      </c>
    </row>
    <row r="68" spans="1:26" x14ac:dyDescent="0.3">
      <c r="A68">
        <v>2022</v>
      </c>
      <c r="B68" t="s">
        <v>31</v>
      </c>
      <c r="C68" t="s">
        <v>32</v>
      </c>
      <c r="D68" s="5">
        <v>41.28</v>
      </c>
      <c r="E68" s="3">
        <v>21680</v>
      </c>
      <c r="F68" s="4">
        <v>16824</v>
      </c>
      <c r="G68" s="4">
        <v>1800</v>
      </c>
      <c r="H68" s="5">
        <v>0.84</v>
      </c>
      <c r="I68" s="4">
        <v>5693</v>
      </c>
      <c r="J68" s="4">
        <v>23075</v>
      </c>
      <c r="K68" s="4">
        <v>3721</v>
      </c>
      <c r="L68" s="4">
        <v>-10214</v>
      </c>
      <c r="M68" s="4">
        <v>7133</v>
      </c>
      <c r="N68" s="5">
        <v>0.81169999999999998</v>
      </c>
      <c r="O68" s="5">
        <v>2.2563</v>
      </c>
      <c r="P68" s="6">
        <v>7.8613</v>
      </c>
      <c r="Q68" s="6">
        <v>1.5288999999999999</v>
      </c>
      <c r="R68" s="7">
        <v>2.5615000000000001</v>
      </c>
      <c r="S68" s="5">
        <v>8.3026</v>
      </c>
      <c r="T68" s="5">
        <v>-1.6E-2</v>
      </c>
      <c r="U68" s="5">
        <v>7.8613</v>
      </c>
      <c r="V68" s="4">
        <v>26010</v>
      </c>
      <c r="W68" s="5">
        <v>8.0028000000000006</v>
      </c>
      <c r="X68" s="4">
        <f t="shared" si="6"/>
        <v>4856</v>
      </c>
      <c r="Y68" s="4">
        <f t="shared" si="7"/>
        <v>15024</v>
      </c>
      <c r="Z68">
        <f t="shared" si="8"/>
        <v>0</v>
      </c>
    </row>
    <row r="69" spans="1:26" x14ac:dyDescent="0.3">
      <c r="A69">
        <v>2021</v>
      </c>
      <c r="B69" t="s">
        <v>31</v>
      </c>
      <c r="C69" t="s">
        <v>32</v>
      </c>
      <c r="D69" s="5">
        <v>32.200000000000003</v>
      </c>
      <c r="E69" s="3">
        <v>20642</v>
      </c>
      <c r="F69" s="4">
        <v>16261</v>
      </c>
      <c r="G69" s="4">
        <v>-102</v>
      </c>
      <c r="H69" s="5">
        <v>-0.05</v>
      </c>
      <c r="I69" s="4">
        <v>5286</v>
      </c>
      <c r="J69" s="4">
        <v>21223</v>
      </c>
      <c r="K69" s="4">
        <v>2262</v>
      </c>
      <c r="L69" s="4">
        <v>-6905</v>
      </c>
      <c r="M69" s="4">
        <v>4323</v>
      </c>
      <c r="N69" s="5">
        <v>0.63560000000000005</v>
      </c>
      <c r="O69" s="5">
        <v>2.1152000000000002</v>
      </c>
      <c r="P69" s="6">
        <v>-0.41460000000000002</v>
      </c>
      <c r="Q69" s="6">
        <v>-8.5199999999999998E-2</v>
      </c>
      <c r="R69" s="7">
        <v>-0.14799999999999999</v>
      </c>
      <c r="S69" s="5">
        <v>-0.49409999999999998</v>
      </c>
      <c r="T69" s="5">
        <v>18.602499999999999</v>
      </c>
      <c r="U69" s="5">
        <v>-0.41460000000000002</v>
      </c>
      <c r="V69" s="4">
        <v>26000</v>
      </c>
      <c r="W69" s="5">
        <v>4.6978999999999997</v>
      </c>
      <c r="X69" s="4">
        <f t="shared" si="6"/>
        <v>4381</v>
      </c>
      <c r="Y69" s="4">
        <f t="shared" si="7"/>
        <v>16363</v>
      </c>
      <c r="Z69">
        <f t="shared" si="8"/>
        <v>0</v>
      </c>
    </row>
    <row r="70" spans="1:26" x14ac:dyDescent="0.3">
      <c r="A70">
        <v>2020</v>
      </c>
      <c r="B70" t="s">
        <v>31</v>
      </c>
      <c r="C70" t="s">
        <v>32</v>
      </c>
      <c r="D70" s="5">
        <v>24.1</v>
      </c>
      <c r="E70" s="3">
        <v>18469</v>
      </c>
      <c r="F70" s="4">
        <v>14571</v>
      </c>
      <c r="G70" s="4">
        <v>-1318</v>
      </c>
      <c r="H70" s="5">
        <v>-1.05</v>
      </c>
      <c r="I70" s="4">
        <v>5223</v>
      </c>
      <c r="J70" s="4">
        <v>21253</v>
      </c>
      <c r="K70" s="4">
        <v>-19130</v>
      </c>
      <c r="L70" s="4">
        <v>-7748</v>
      </c>
      <c r="M70" s="4">
        <v>25928</v>
      </c>
      <c r="N70" s="5">
        <v>0.70699999999999996</v>
      </c>
      <c r="O70" s="5">
        <v>1.9227000000000001</v>
      </c>
      <c r="P70" s="6">
        <v>-6.1356000000000002</v>
      </c>
      <c r="Q70" s="6">
        <v>-1.3326</v>
      </c>
      <c r="R70" s="7">
        <v>-2.2275</v>
      </c>
      <c r="S70" s="5">
        <v>-7.1363000000000003</v>
      </c>
      <c r="T70" s="5">
        <v>-18.501300000000001</v>
      </c>
      <c r="U70" s="5">
        <v>-6.1356000000000002</v>
      </c>
      <c r="V70" s="4">
        <v>24000</v>
      </c>
      <c r="W70" s="5">
        <v>1.2336</v>
      </c>
      <c r="X70" s="4">
        <f t="shared" si="6"/>
        <v>3898</v>
      </c>
      <c r="Y70" s="4">
        <f t="shared" si="7"/>
        <v>15889</v>
      </c>
      <c r="Z70">
        <f t="shared" si="8"/>
        <v>0</v>
      </c>
    </row>
    <row r="71" spans="1:26" x14ac:dyDescent="0.3">
      <c r="A71">
        <v>2019</v>
      </c>
      <c r="B71" t="s">
        <v>31</v>
      </c>
      <c r="C71" t="s">
        <v>32</v>
      </c>
      <c r="D71" s="5">
        <v>24.73</v>
      </c>
      <c r="E71" s="3">
        <v>17129</v>
      </c>
      <c r="F71" s="4">
        <v>13300</v>
      </c>
      <c r="G71" s="4">
        <v>-7656</v>
      </c>
      <c r="H71" s="5">
        <v>-14.5</v>
      </c>
      <c r="I71" s="4">
        <v>-6860</v>
      </c>
      <c r="J71" s="4">
        <v>5388</v>
      </c>
      <c r="K71" s="4">
        <v>4816</v>
      </c>
      <c r="L71" s="4">
        <v>-6378</v>
      </c>
      <c r="M71" s="4">
        <v>1464</v>
      </c>
      <c r="N71" s="5">
        <v>1.3321000000000001</v>
      </c>
      <c r="O71" s="5">
        <v>0</v>
      </c>
      <c r="P71" s="6">
        <v>-141.83369999999999</v>
      </c>
      <c r="Q71" s="6">
        <v>-8.9699000000000009</v>
      </c>
      <c r="R71" s="7">
        <v>-141.83369999999999</v>
      </c>
      <c r="S71" s="5">
        <v>-44.696100000000001</v>
      </c>
      <c r="T71" s="5">
        <v>0.57289999999999996</v>
      </c>
      <c r="U71" s="5">
        <v>-141.83369999999999</v>
      </c>
      <c r="V71" s="4">
        <v>23000</v>
      </c>
      <c r="W71" s="5">
        <v>1.8122</v>
      </c>
      <c r="X71" s="4">
        <f t="shared" si="6"/>
        <v>3829</v>
      </c>
      <c r="Y71" s="4">
        <f t="shared" si="7"/>
        <v>20956</v>
      </c>
      <c r="Z71">
        <f t="shared" si="8"/>
        <v>0</v>
      </c>
    </row>
    <row r="72" spans="1:26" x14ac:dyDescent="0.3">
      <c r="A72">
        <v>2018</v>
      </c>
      <c r="B72" t="s">
        <v>31</v>
      </c>
      <c r="C72" t="s">
        <v>32</v>
      </c>
      <c r="D72" s="5">
        <v>5.75</v>
      </c>
      <c r="E72" s="3">
        <v>16759</v>
      </c>
      <c r="F72" s="4">
        <v>12260</v>
      </c>
      <c r="G72" s="4">
        <v>-6851</v>
      </c>
      <c r="H72" s="5">
        <v>-13.25</v>
      </c>
      <c r="I72" s="4">
        <v>-6664</v>
      </c>
      <c r="J72" s="4">
        <v>12903</v>
      </c>
      <c r="K72" s="4">
        <v>4752</v>
      </c>
      <c r="L72" s="4">
        <v>-6564</v>
      </c>
      <c r="M72" s="4">
        <v>3031</v>
      </c>
      <c r="N72" s="5">
        <v>0.2205</v>
      </c>
      <c r="O72" s="5">
        <v>1.7045999999999999</v>
      </c>
      <c r="P72" s="6">
        <v>-52.987699999999997</v>
      </c>
      <c r="Q72" s="6">
        <v>-8.8797999999999995</v>
      </c>
      <c r="R72" s="7">
        <v>-52.987699999999997</v>
      </c>
      <c r="S72" s="5">
        <v>-40.8795</v>
      </c>
      <c r="T72" s="5">
        <v>-4.0631000000000004</v>
      </c>
      <c r="U72" s="5">
        <v>-52.987699999999997</v>
      </c>
      <c r="V72" s="4">
        <v>24000</v>
      </c>
      <c r="W72" s="5">
        <v>2.4426000000000001</v>
      </c>
      <c r="X72" s="4">
        <f t="shared" si="6"/>
        <v>4499</v>
      </c>
      <c r="Y72" s="4">
        <f t="shared" si="7"/>
        <v>19111</v>
      </c>
      <c r="Z72">
        <f t="shared" si="8"/>
        <v>0</v>
      </c>
    </row>
    <row r="73" spans="1:26" x14ac:dyDescent="0.3">
      <c r="A73">
        <v>2017</v>
      </c>
      <c r="B73" t="s">
        <v>31</v>
      </c>
      <c r="C73" t="s">
        <v>32</v>
      </c>
      <c r="D73" s="5">
        <v>12.32</v>
      </c>
      <c r="E73" s="3">
        <v>17135</v>
      </c>
      <c r="F73" s="4">
        <v>12080</v>
      </c>
      <c r="G73" s="4">
        <v>1646</v>
      </c>
      <c r="H73" s="5">
        <v>3.21</v>
      </c>
      <c r="I73" s="4">
        <v>5759</v>
      </c>
      <c r="J73" s="4">
        <v>19472</v>
      </c>
      <c r="K73" s="4">
        <v>5977</v>
      </c>
      <c r="L73" s="4">
        <v>-5650</v>
      </c>
      <c r="M73" s="4">
        <v>-55</v>
      </c>
      <c r="N73" s="5">
        <v>0.88100000000000001</v>
      </c>
      <c r="O73" s="5">
        <v>0.98240000000000005</v>
      </c>
      <c r="P73" s="6">
        <v>8.5251000000000001</v>
      </c>
      <c r="Q73" s="6">
        <v>2.4407000000000001</v>
      </c>
      <c r="R73" s="7">
        <v>4.4593999999999996</v>
      </c>
      <c r="S73" s="5">
        <v>9.6060999999999996</v>
      </c>
      <c r="T73" s="5">
        <v>3.2498</v>
      </c>
      <c r="U73" s="5">
        <v>8.5251000000000001</v>
      </c>
      <c r="V73" s="4">
        <v>23000</v>
      </c>
      <c r="W73" s="5">
        <v>2.1301000000000001</v>
      </c>
      <c r="X73" s="4">
        <f t="shared" si="6"/>
        <v>5055</v>
      </c>
      <c r="Y73" s="4">
        <f t="shared" si="7"/>
        <v>10434</v>
      </c>
      <c r="Z73">
        <f t="shared" si="8"/>
        <v>0</v>
      </c>
    </row>
    <row r="74" spans="1:26" x14ac:dyDescent="0.3">
      <c r="A74">
        <v>2016</v>
      </c>
      <c r="B74" t="s">
        <v>31</v>
      </c>
      <c r="C74" t="s">
        <v>32</v>
      </c>
      <c r="D74" s="5">
        <v>23.06</v>
      </c>
      <c r="E74" s="3">
        <v>17666</v>
      </c>
      <c r="F74" s="4">
        <v>12286</v>
      </c>
      <c r="G74" s="4">
        <v>1393</v>
      </c>
      <c r="H74" s="5">
        <v>2.78</v>
      </c>
      <c r="I74" s="4">
        <v>4835</v>
      </c>
      <c r="J74" s="4">
        <v>18192</v>
      </c>
      <c r="K74" s="4">
        <v>4409</v>
      </c>
      <c r="L74" s="4">
        <v>-5753</v>
      </c>
      <c r="M74" s="4">
        <v>1171</v>
      </c>
      <c r="N74" s="5">
        <v>0.81489999999999996</v>
      </c>
      <c r="O74" s="5">
        <v>1.0134000000000001</v>
      </c>
      <c r="P74" s="6">
        <v>7.7342000000000004</v>
      </c>
      <c r="Q74" s="6">
        <v>2.0510999999999999</v>
      </c>
      <c r="R74" s="7">
        <v>4.0887000000000002</v>
      </c>
      <c r="S74" s="5">
        <v>7.8852000000000002</v>
      </c>
      <c r="T74" s="5">
        <v>0.2656</v>
      </c>
      <c r="U74" s="5">
        <v>7.7342000000000004</v>
      </c>
      <c r="V74" s="4">
        <v>24000</v>
      </c>
      <c r="W74" s="5">
        <v>1.2616000000000001</v>
      </c>
      <c r="X74" s="4">
        <f t="shared" si="6"/>
        <v>5380</v>
      </c>
      <c r="Y74" s="4">
        <f t="shared" si="7"/>
        <v>10893</v>
      </c>
      <c r="Z74">
        <f t="shared" si="8"/>
        <v>0</v>
      </c>
    </row>
    <row r="75" spans="1:26" x14ac:dyDescent="0.3">
      <c r="A75">
        <v>2015</v>
      </c>
      <c r="B75" t="s">
        <v>31</v>
      </c>
      <c r="C75" t="s">
        <v>32</v>
      </c>
      <c r="D75" s="5">
        <v>30.73</v>
      </c>
      <c r="E75" s="3">
        <v>16833</v>
      </c>
      <c r="F75" s="4">
        <v>11071</v>
      </c>
      <c r="G75" s="4">
        <v>874</v>
      </c>
      <c r="H75" s="5">
        <v>1.79</v>
      </c>
      <c r="I75" s="4">
        <v>4120</v>
      </c>
      <c r="J75" s="4">
        <v>16828</v>
      </c>
      <c r="K75" s="4">
        <v>3780</v>
      </c>
      <c r="L75" s="4">
        <v>-5211</v>
      </c>
      <c r="M75" s="4">
        <v>1403</v>
      </c>
      <c r="N75" s="5">
        <v>0.91359999999999997</v>
      </c>
      <c r="O75" s="5">
        <v>1.0164</v>
      </c>
      <c r="P75" s="6">
        <v>5.2769000000000004</v>
      </c>
      <c r="Q75" s="6">
        <v>1.4043000000000001</v>
      </c>
      <c r="R75" s="7">
        <v>2.7111999999999998</v>
      </c>
      <c r="S75" s="5">
        <v>5.1921999999999997</v>
      </c>
      <c r="T75" s="5">
        <v>-0.42849999999999999</v>
      </c>
      <c r="U75" s="5">
        <v>5.2769000000000004</v>
      </c>
      <c r="V75" s="4">
        <v>23000</v>
      </c>
      <c r="W75" s="5">
        <v>0.1186</v>
      </c>
      <c r="X75" s="4">
        <f t="shared" si="6"/>
        <v>5762</v>
      </c>
      <c r="Y75" s="4">
        <f t="shared" si="7"/>
        <v>10197</v>
      </c>
      <c r="Z75">
        <f t="shared" si="8"/>
        <v>0</v>
      </c>
    </row>
    <row r="76" spans="1:26" x14ac:dyDescent="0.3">
      <c r="A76">
        <v>2014</v>
      </c>
      <c r="B76" t="s">
        <v>31</v>
      </c>
      <c r="C76" t="s">
        <v>32</v>
      </c>
      <c r="D76" s="5">
        <v>26.09</v>
      </c>
      <c r="E76" s="3">
        <v>17090</v>
      </c>
      <c r="F76" s="4">
        <v>10521</v>
      </c>
      <c r="G76" s="4">
        <v>1436</v>
      </c>
      <c r="H76" s="5">
        <v>3.06</v>
      </c>
      <c r="I76" s="4">
        <v>4883</v>
      </c>
      <c r="J76" s="4">
        <v>16000</v>
      </c>
      <c r="K76" s="4">
        <v>3690</v>
      </c>
      <c r="L76" s="4">
        <v>-4714</v>
      </c>
      <c r="M76" s="4">
        <v>879</v>
      </c>
      <c r="N76" s="5">
        <v>1.0791999999999999</v>
      </c>
      <c r="O76" s="5">
        <v>0.98019999999999996</v>
      </c>
      <c r="P76" s="6">
        <v>9.0625</v>
      </c>
      <c r="Q76" s="6">
        <v>2.4116</v>
      </c>
      <c r="R76" s="7">
        <v>4.6699000000000002</v>
      </c>
      <c r="S76" s="5">
        <v>8.4025999999999996</v>
      </c>
      <c r="T76" s="5">
        <v>1.5681</v>
      </c>
      <c r="U76" s="5">
        <v>9.0625</v>
      </c>
      <c r="V76" s="4">
        <v>22581</v>
      </c>
      <c r="W76" s="5">
        <v>1.6222000000000001</v>
      </c>
      <c r="X76" s="4">
        <f t="shared" si="6"/>
        <v>6569</v>
      </c>
      <c r="Y76" s="4">
        <f t="shared" si="7"/>
        <v>9085</v>
      </c>
      <c r="Z76">
        <f t="shared" si="8"/>
        <v>0</v>
      </c>
    </row>
    <row r="77" spans="1:26" x14ac:dyDescent="0.3">
      <c r="A77">
        <v>2013</v>
      </c>
      <c r="B77" t="s">
        <v>31</v>
      </c>
      <c r="C77" t="s">
        <v>32</v>
      </c>
      <c r="D77" s="5">
        <v>25.29</v>
      </c>
      <c r="E77" s="3">
        <v>15598</v>
      </c>
      <c r="F77" s="4">
        <v>9614</v>
      </c>
      <c r="G77" s="4">
        <v>814</v>
      </c>
      <c r="H77" s="5">
        <v>1.83</v>
      </c>
      <c r="I77" s="4">
        <v>3839</v>
      </c>
      <c r="J77" s="4">
        <v>14594</v>
      </c>
      <c r="K77" s="4">
        <v>3427</v>
      </c>
      <c r="L77" s="4">
        <v>-5107</v>
      </c>
      <c r="M77" s="4">
        <v>1575</v>
      </c>
      <c r="N77" s="5">
        <v>0.79769999999999996</v>
      </c>
      <c r="O77" s="5">
        <v>1.0126999999999999</v>
      </c>
      <c r="P77" s="6">
        <v>5.6736000000000004</v>
      </c>
      <c r="Q77" s="6">
        <v>1.4891000000000001</v>
      </c>
      <c r="R77" s="7">
        <v>3.0316999999999998</v>
      </c>
      <c r="S77" s="5">
        <v>5.2186000000000003</v>
      </c>
      <c r="T77" s="5">
        <v>-4.6071</v>
      </c>
      <c r="U77" s="5">
        <v>5.6736000000000004</v>
      </c>
      <c r="V77" s="4">
        <v>21166</v>
      </c>
      <c r="W77" s="5">
        <v>1.4648000000000001</v>
      </c>
      <c r="X77" s="4">
        <f t="shared" si="6"/>
        <v>5984</v>
      </c>
      <c r="Y77" s="4">
        <f t="shared" si="7"/>
        <v>8800</v>
      </c>
      <c r="Z77">
        <f t="shared" si="8"/>
        <v>0</v>
      </c>
    </row>
    <row r="78" spans="1:26" x14ac:dyDescent="0.3">
      <c r="A78">
        <v>2012</v>
      </c>
      <c r="B78" t="s">
        <v>31</v>
      </c>
      <c r="C78" t="s">
        <v>32</v>
      </c>
      <c r="D78" s="5">
        <v>18.100000000000001</v>
      </c>
      <c r="E78" s="3">
        <v>15040</v>
      </c>
      <c r="F78" s="4">
        <v>10017</v>
      </c>
      <c r="G78" s="4">
        <v>816</v>
      </c>
      <c r="H78" s="5">
        <v>1.92</v>
      </c>
      <c r="I78" s="4">
        <v>3965</v>
      </c>
      <c r="J78" s="4">
        <v>13326</v>
      </c>
      <c r="K78" s="4">
        <v>4882</v>
      </c>
      <c r="L78" s="4">
        <v>-4526</v>
      </c>
      <c r="M78" s="4">
        <v>-468</v>
      </c>
      <c r="N78" s="5">
        <v>0.81859999999999999</v>
      </c>
      <c r="O78" s="5">
        <v>1.0062</v>
      </c>
      <c r="P78" s="6">
        <v>6.2283999999999997</v>
      </c>
      <c r="Q78" s="6">
        <v>1.5825</v>
      </c>
      <c r="R78" s="7">
        <v>3.2117</v>
      </c>
      <c r="S78" s="5">
        <v>5.4255000000000004</v>
      </c>
      <c r="T78" s="5">
        <v>1.3509</v>
      </c>
      <c r="U78" s="5">
        <v>6.2283999999999997</v>
      </c>
      <c r="V78" s="4">
        <v>20593</v>
      </c>
      <c r="W78" s="5">
        <v>2.0693000000000001</v>
      </c>
      <c r="X78" s="4">
        <f t="shared" si="6"/>
        <v>5023</v>
      </c>
      <c r="Y78" s="4">
        <f t="shared" si="7"/>
        <v>9201</v>
      </c>
      <c r="Z78">
        <f t="shared" si="8"/>
        <v>0</v>
      </c>
    </row>
    <row r="79" spans="1:26" x14ac:dyDescent="0.3">
      <c r="A79">
        <v>2011</v>
      </c>
      <c r="B79" t="s">
        <v>31</v>
      </c>
      <c r="C79" t="s">
        <v>32</v>
      </c>
      <c r="D79" s="5">
        <v>17.14</v>
      </c>
      <c r="E79" s="3">
        <v>14956</v>
      </c>
      <c r="F79" s="4">
        <v>9623</v>
      </c>
      <c r="G79" s="4">
        <v>844</v>
      </c>
      <c r="H79" s="5">
        <v>2.1</v>
      </c>
      <c r="I79" s="4">
        <v>4157</v>
      </c>
      <c r="J79" s="4">
        <v>12353</v>
      </c>
      <c r="K79" s="4">
        <v>3739</v>
      </c>
      <c r="L79" s="4">
        <v>-3986</v>
      </c>
      <c r="M79" s="4">
        <v>469</v>
      </c>
      <c r="N79" s="5">
        <v>0.83620000000000005</v>
      </c>
      <c r="O79" s="5">
        <v>1.1241000000000001</v>
      </c>
      <c r="P79" s="6">
        <v>6.9457000000000004</v>
      </c>
      <c r="Q79" s="6">
        <v>1.7245999999999999</v>
      </c>
      <c r="R79" s="7">
        <v>3.5573999999999999</v>
      </c>
      <c r="S79" s="5">
        <v>5.6432000000000002</v>
      </c>
      <c r="T79" s="5">
        <v>0.77659999999999996</v>
      </c>
      <c r="U79" s="5">
        <v>6.9457000000000004</v>
      </c>
      <c r="V79" s="4">
        <v>19274</v>
      </c>
      <c r="W79" s="5">
        <v>3.1568000000000001</v>
      </c>
      <c r="X79" s="4">
        <f t="shared" si="6"/>
        <v>5333</v>
      </c>
      <c r="Y79" s="4">
        <f t="shared" si="7"/>
        <v>8779</v>
      </c>
      <c r="Z79">
        <f t="shared" si="8"/>
        <v>0</v>
      </c>
    </row>
    <row r="80" spans="1:26" x14ac:dyDescent="0.3">
      <c r="A80">
        <v>2010</v>
      </c>
      <c r="B80" t="s">
        <v>31</v>
      </c>
      <c r="C80" t="s">
        <v>32</v>
      </c>
      <c r="D80" s="5">
        <v>16.73</v>
      </c>
      <c r="E80" s="3">
        <v>13841</v>
      </c>
      <c r="F80" s="4">
        <v>8652</v>
      </c>
      <c r="G80" s="4">
        <v>1099</v>
      </c>
      <c r="H80" s="5">
        <v>2.82</v>
      </c>
      <c r="I80" s="4">
        <v>4213</v>
      </c>
      <c r="J80" s="4">
        <v>11534</v>
      </c>
      <c r="K80" s="4">
        <v>3206</v>
      </c>
      <c r="L80" s="4">
        <v>-3857</v>
      </c>
      <c r="M80" s="4">
        <v>415</v>
      </c>
      <c r="N80" s="5">
        <v>0.77129999999999999</v>
      </c>
      <c r="O80" s="5">
        <v>1.1613</v>
      </c>
      <c r="P80" s="6">
        <v>9.6496999999999993</v>
      </c>
      <c r="Q80" s="6">
        <v>2.4182999999999999</v>
      </c>
      <c r="R80" s="7">
        <v>4.8681000000000001</v>
      </c>
      <c r="S80" s="5">
        <v>7.9401999999999999</v>
      </c>
      <c r="T80" s="5">
        <v>0.86040000000000005</v>
      </c>
      <c r="U80" s="5">
        <v>9.6496999999999993</v>
      </c>
      <c r="V80" s="4">
        <v>19424</v>
      </c>
      <c r="W80" s="5">
        <v>1.64</v>
      </c>
      <c r="X80" s="4">
        <f t="shared" si="6"/>
        <v>5189</v>
      </c>
      <c r="Y80" s="4">
        <f t="shared" si="7"/>
        <v>7553</v>
      </c>
      <c r="Z80">
        <f t="shared" si="8"/>
        <v>0</v>
      </c>
    </row>
    <row r="81" spans="1:26" x14ac:dyDescent="0.3">
      <c r="A81">
        <v>2009</v>
      </c>
      <c r="B81" t="s">
        <v>31</v>
      </c>
      <c r="C81" t="s">
        <v>32</v>
      </c>
      <c r="D81" s="5">
        <v>18.760000000000002</v>
      </c>
      <c r="E81" s="3">
        <v>13399</v>
      </c>
      <c r="F81" s="4">
        <v>8397</v>
      </c>
      <c r="G81" s="4">
        <v>1220</v>
      </c>
      <c r="H81" s="5">
        <v>3.2</v>
      </c>
      <c r="I81" s="4">
        <v>4051</v>
      </c>
      <c r="J81" s="4">
        <v>10585</v>
      </c>
      <c r="K81" s="4">
        <v>3039</v>
      </c>
      <c r="L81" s="4">
        <v>-3336</v>
      </c>
      <c r="M81" s="4">
        <v>605</v>
      </c>
      <c r="N81" s="5">
        <v>0.83030000000000004</v>
      </c>
      <c r="O81" s="5">
        <v>1.2062999999999999</v>
      </c>
      <c r="P81" s="6">
        <v>11.657999999999999</v>
      </c>
      <c r="Q81" s="6">
        <v>2.8734000000000002</v>
      </c>
      <c r="R81" s="7">
        <v>5.6623999999999999</v>
      </c>
      <c r="S81" s="5">
        <v>9.1052</v>
      </c>
      <c r="T81" s="5">
        <v>-2.3807999999999998</v>
      </c>
      <c r="U81" s="5">
        <v>11.657999999999999</v>
      </c>
      <c r="V81" s="4">
        <v>19425</v>
      </c>
      <c r="W81" s="5">
        <v>-0.35549999999999998</v>
      </c>
      <c r="X81" s="4">
        <f t="shared" si="6"/>
        <v>5002</v>
      </c>
      <c r="Y81" s="4">
        <f t="shared" si="7"/>
        <v>7177</v>
      </c>
      <c r="Z81">
        <f t="shared" si="8"/>
        <v>0</v>
      </c>
    </row>
    <row r="82" spans="1:26" x14ac:dyDescent="0.3">
      <c r="A82">
        <v>2018</v>
      </c>
      <c r="B82" t="s">
        <v>33</v>
      </c>
      <c r="C82" t="s">
        <v>34</v>
      </c>
      <c r="D82" s="5">
        <v>0.04</v>
      </c>
      <c r="E82" s="3">
        <v>16702</v>
      </c>
      <c r="F82" s="4">
        <v>3527</v>
      </c>
      <c r="G82" s="4">
        <v>-383</v>
      </c>
      <c r="H82" s="5">
        <v>-3.57</v>
      </c>
      <c r="I82" s="4">
        <v>-52</v>
      </c>
      <c r="J82" s="4">
        <v>-3723</v>
      </c>
      <c r="K82" s="4">
        <v>-1842</v>
      </c>
      <c r="L82" s="4">
        <v>1894</v>
      </c>
      <c r="M82" s="4">
        <v>-2</v>
      </c>
      <c r="N82" s="5">
        <v>0.77559999999999996</v>
      </c>
      <c r="O82" s="5">
        <v>-1.1099000000000001</v>
      </c>
      <c r="P82" s="6">
        <v>10.2874</v>
      </c>
      <c r="Q82" s="6">
        <v>-5.274</v>
      </c>
      <c r="R82" s="7">
        <v>25.983699999999999</v>
      </c>
      <c r="S82" s="5">
        <v>-2.2930999999999999</v>
      </c>
      <c r="T82" s="5">
        <v>3.0663</v>
      </c>
      <c r="U82" s="5">
        <v>7.4225000000000003</v>
      </c>
      <c r="V82" s="4">
        <v>89900</v>
      </c>
      <c r="W82" s="5">
        <v>2.4426000000000001</v>
      </c>
      <c r="X82" s="4">
        <f t="shared" si="6"/>
        <v>13175</v>
      </c>
      <c r="Y82" s="4">
        <f t="shared" si="7"/>
        <v>3910</v>
      </c>
      <c r="Z82">
        <f t="shared" si="8"/>
        <v>0</v>
      </c>
    </row>
    <row r="83" spans="1:26" x14ac:dyDescent="0.3">
      <c r="A83">
        <v>2017</v>
      </c>
      <c r="B83" t="s">
        <v>33</v>
      </c>
      <c r="C83" t="s">
        <v>34</v>
      </c>
      <c r="D83" s="5">
        <v>0.37</v>
      </c>
      <c r="E83" s="3">
        <v>22138</v>
      </c>
      <c r="F83" s="4">
        <v>4686</v>
      </c>
      <c r="G83" s="4">
        <v>-2221</v>
      </c>
      <c r="H83" s="5">
        <v>-20.78</v>
      </c>
      <c r="I83" s="4">
        <v>-1610</v>
      </c>
      <c r="J83" s="4">
        <v>-3824</v>
      </c>
      <c r="K83" s="4">
        <v>-1381</v>
      </c>
      <c r="L83" s="4">
        <v>244</v>
      </c>
      <c r="M83" s="4">
        <v>1185</v>
      </c>
      <c r="N83" s="5">
        <v>1.0672999999999999</v>
      </c>
      <c r="O83" s="5">
        <v>-1.0887</v>
      </c>
      <c r="P83" s="6">
        <v>58.080500000000001</v>
      </c>
      <c r="Q83" s="6">
        <v>-23.723600000000001</v>
      </c>
      <c r="R83" s="7">
        <v>884.8605</v>
      </c>
      <c r="S83" s="5">
        <v>-10.032500000000001</v>
      </c>
      <c r="T83" s="5">
        <v>-13.9382</v>
      </c>
      <c r="U83" s="5">
        <v>39.561799999999998</v>
      </c>
      <c r="V83" s="4">
        <v>140000</v>
      </c>
      <c r="W83" s="5">
        <v>2.1301000000000001</v>
      </c>
      <c r="X83" s="4">
        <f t="shared" si="6"/>
        <v>17452</v>
      </c>
      <c r="Y83" s="4">
        <f t="shared" si="7"/>
        <v>6907</v>
      </c>
      <c r="Z83">
        <f t="shared" si="8"/>
        <v>0</v>
      </c>
    </row>
    <row r="84" spans="1:26" x14ac:dyDescent="0.3">
      <c r="A84">
        <v>2016</v>
      </c>
      <c r="B84" t="s">
        <v>33</v>
      </c>
      <c r="C84" t="s">
        <v>34</v>
      </c>
      <c r="D84" s="5">
        <v>1.1100000000000001</v>
      </c>
      <c r="E84" s="3">
        <v>25146</v>
      </c>
      <c r="F84" s="4">
        <v>5810</v>
      </c>
      <c r="G84" s="4">
        <v>-1129</v>
      </c>
      <c r="H84" s="5">
        <v>-10.59</v>
      </c>
      <c r="I84" s="4">
        <v>-570</v>
      </c>
      <c r="J84" s="4">
        <v>-1956</v>
      </c>
      <c r="K84" s="4">
        <v>-2167</v>
      </c>
      <c r="L84" s="4">
        <v>2519</v>
      </c>
      <c r="M84" s="4">
        <v>-364</v>
      </c>
      <c r="N84" s="5">
        <v>1.1115999999999999</v>
      </c>
      <c r="O84" s="5">
        <v>-1.5215000000000001</v>
      </c>
      <c r="P84" s="6">
        <v>57.668700000000001</v>
      </c>
      <c r="Q84" s="6">
        <v>-9.9497</v>
      </c>
      <c r="R84" s="7">
        <v>-742.10519999999997</v>
      </c>
      <c r="S84" s="5">
        <v>-4.4897999999999998</v>
      </c>
      <c r="T84" s="5">
        <v>14.901400000000001</v>
      </c>
      <c r="U84" s="5">
        <v>27.285900000000002</v>
      </c>
      <c r="V84" s="4">
        <v>178000</v>
      </c>
      <c r="W84" s="5">
        <v>1.2616000000000001</v>
      </c>
      <c r="X84" s="4">
        <f t="shared" si="6"/>
        <v>19336</v>
      </c>
      <c r="Y84" s="4">
        <f t="shared" si="7"/>
        <v>6939</v>
      </c>
      <c r="Z84">
        <f t="shared" si="8"/>
        <v>0</v>
      </c>
    </row>
    <row r="85" spans="1:26" x14ac:dyDescent="0.3">
      <c r="A85">
        <v>2015</v>
      </c>
      <c r="B85" t="s">
        <v>33</v>
      </c>
      <c r="C85" t="s">
        <v>34</v>
      </c>
      <c r="D85" s="5">
        <v>2.19</v>
      </c>
      <c r="E85" s="3">
        <v>31198</v>
      </c>
      <c r="F85" s="4">
        <v>7149</v>
      </c>
      <c r="G85" s="4">
        <v>-1682</v>
      </c>
      <c r="H85" s="5">
        <v>-15.82</v>
      </c>
      <c r="I85" s="4">
        <v>-889</v>
      </c>
      <c r="J85" s="4">
        <v>-945</v>
      </c>
      <c r="K85" s="4">
        <v>-1387</v>
      </c>
      <c r="L85" s="4">
        <v>327</v>
      </c>
      <c r="M85" s="4">
        <v>285</v>
      </c>
      <c r="N85" s="5">
        <v>1.0479000000000001</v>
      </c>
      <c r="O85" s="5">
        <v>-3.9958</v>
      </c>
      <c r="P85" s="6">
        <v>191.53440000000001</v>
      </c>
      <c r="Q85" s="6">
        <v>-13.7277</v>
      </c>
      <c r="R85" s="7">
        <v>-84.500500000000002</v>
      </c>
      <c r="S85" s="5">
        <v>-5.3914</v>
      </c>
      <c r="T85" s="5">
        <v>-7.4240000000000004</v>
      </c>
      <c r="U85" s="5">
        <v>54.6663</v>
      </c>
      <c r="V85" s="4">
        <v>196000</v>
      </c>
      <c r="W85" s="5">
        <v>0.1186</v>
      </c>
      <c r="X85" s="4">
        <f t="shared" si="6"/>
        <v>24049</v>
      </c>
      <c r="Y85" s="4">
        <f t="shared" si="7"/>
        <v>8831</v>
      </c>
      <c r="Z85">
        <f t="shared" si="8"/>
        <v>0</v>
      </c>
    </row>
    <row r="86" spans="1:26" x14ac:dyDescent="0.3">
      <c r="A86">
        <v>2014</v>
      </c>
      <c r="B86" t="s">
        <v>33</v>
      </c>
      <c r="C86" t="s">
        <v>34</v>
      </c>
      <c r="D86" s="5">
        <v>3.51</v>
      </c>
      <c r="E86" s="3">
        <v>36188</v>
      </c>
      <c r="F86" s="4">
        <v>8755</v>
      </c>
      <c r="G86" s="4">
        <v>-1365</v>
      </c>
      <c r="H86" s="5">
        <v>-12.87</v>
      </c>
      <c r="I86" s="4">
        <v>-195</v>
      </c>
      <c r="J86" s="4">
        <v>2183</v>
      </c>
      <c r="K86" s="4">
        <v>-1109</v>
      </c>
      <c r="L86" s="4">
        <v>664</v>
      </c>
      <c r="M86" s="4">
        <v>902</v>
      </c>
      <c r="N86" s="5">
        <v>1.0946</v>
      </c>
      <c r="O86" s="5">
        <v>1.9463999999999999</v>
      </c>
      <c r="P86" s="6">
        <v>-51.122300000000003</v>
      </c>
      <c r="Q86" s="6">
        <v>-6.1113999999999997</v>
      </c>
      <c r="R86" s="7">
        <v>-22.244399999999999</v>
      </c>
      <c r="S86" s="5">
        <v>-3.7719999999999998</v>
      </c>
      <c r="T86" s="5">
        <v>-2.7683</v>
      </c>
      <c r="U86" s="5">
        <v>106.6922</v>
      </c>
      <c r="V86" s="4">
        <v>226000</v>
      </c>
      <c r="W86" s="5">
        <v>1.6222000000000001</v>
      </c>
      <c r="X86" s="4">
        <f t="shared" si="6"/>
        <v>27433</v>
      </c>
      <c r="Y86" s="4">
        <f t="shared" si="7"/>
        <v>10120</v>
      </c>
      <c r="Z86">
        <f t="shared" si="8"/>
        <v>0</v>
      </c>
    </row>
    <row r="87" spans="1:26" x14ac:dyDescent="0.3">
      <c r="A87">
        <v>2013</v>
      </c>
      <c r="B87" t="s">
        <v>33</v>
      </c>
      <c r="C87" t="s">
        <v>34</v>
      </c>
      <c r="D87" s="5">
        <v>4.9000000000000004</v>
      </c>
      <c r="E87" s="3">
        <v>39854</v>
      </c>
      <c r="F87" s="4">
        <v>10514</v>
      </c>
      <c r="G87" s="4">
        <v>-930</v>
      </c>
      <c r="H87" s="5">
        <v>-8.7799999999999994</v>
      </c>
      <c r="I87" s="4">
        <v>-8</v>
      </c>
      <c r="J87" s="4">
        <v>3172</v>
      </c>
      <c r="K87" s="4">
        <v>-303</v>
      </c>
      <c r="L87" s="4">
        <v>191</v>
      </c>
      <c r="M87" s="4">
        <v>-27</v>
      </c>
      <c r="N87" s="5">
        <v>1.1011</v>
      </c>
      <c r="O87" s="5">
        <v>0.98360000000000003</v>
      </c>
      <c r="P87" s="6">
        <v>-33.228299999999997</v>
      </c>
      <c r="Q87" s="6">
        <v>-5.4497999999999998</v>
      </c>
      <c r="R87" s="7">
        <v>-20.606100000000001</v>
      </c>
      <c r="S87" s="5">
        <v>-2.3334999999999999</v>
      </c>
      <c r="T87" s="5">
        <v>4.5387000000000004</v>
      </c>
      <c r="U87" s="5">
        <v>1197.7270000000001</v>
      </c>
      <c r="V87" s="4">
        <v>246000</v>
      </c>
      <c r="W87" s="5">
        <v>1.4648000000000001</v>
      </c>
      <c r="X87" s="4">
        <f t="shared" si="6"/>
        <v>29340</v>
      </c>
      <c r="Y87" s="4">
        <f t="shared" si="7"/>
        <v>11444</v>
      </c>
      <c r="Z87">
        <f t="shared" si="8"/>
        <v>0</v>
      </c>
    </row>
    <row r="88" spans="1:26" x14ac:dyDescent="0.3">
      <c r="A88">
        <v>2012</v>
      </c>
      <c r="B88" t="s">
        <v>33</v>
      </c>
      <c r="C88" t="s">
        <v>34</v>
      </c>
      <c r="D88" s="5">
        <v>4.47</v>
      </c>
      <c r="E88" s="3">
        <v>41567</v>
      </c>
      <c r="F88" s="4">
        <v>10601</v>
      </c>
      <c r="G88" s="4">
        <v>-3140</v>
      </c>
      <c r="H88" s="5">
        <v>-29.4</v>
      </c>
      <c r="I88" s="4">
        <v>-648</v>
      </c>
      <c r="J88" s="4">
        <v>4341</v>
      </c>
      <c r="K88" s="4">
        <v>-275</v>
      </c>
      <c r="L88" s="4">
        <v>-309</v>
      </c>
      <c r="M88" s="4">
        <v>-28</v>
      </c>
      <c r="N88" s="5">
        <v>1.1120000000000001</v>
      </c>
      <c r="O88" s="5">
        <v>0.80469999999999997</v>
      </c>
      <c r="P88" s="6">
        <v>-71.872799999999998</v>
      </c>
      <c r="Q88" s="6">
        <v>-14.5924</v>
      </c>
      <c r="R88" s="7">
        <v>-48.530099999999997</v>
      </c>
      <c r="S88" s="5">
        <v>-7.5541</v>
      </c>
      <c r="T88" s="5">
        <v>-3.5464000000000002</v>
      </c>
      <c r="U88" s="5">
        <v>-554.17409999999995</v>
      </c>
      <c r="V88" s="4">
        <v>264000</v>
      </c>
      <c r="W88" s="5">
        <v>2.0693000000000001</v>
      </c>
      <c r="X88" s="4">
        <f t="shared" si="6"/>
        <v>30966</v>
      </c>
      <c r="Y88" s="4">
        <f t="shared" si="7"/>
        <v>13741</v>
      </c>
      <c r="Z88">
        <f t="shared" si="8"/>
        <v>0</v>
      </c>
    </row>
    <row r="89" spans="1:26" x14ac:dyDescent="0.3">
      <c r="A89">
        <v>2011</v>
      </c>
      <c r="B89" t="s">
        <v>33</v>
      </c>
      <c r="C89" t="s">
        <v>34</v>
      </c>
      <c r="D89" s="5">
        <v>3.39</v>
      </c>
      <c r="E89" s="3">
        <v>42664</v>
      </c>
      <c r="F89" s="4">
        <v>11664</v>
      </c>
      <c r="G89" s="4">
        <v>133</v>
      </c>
      <c r="H89" s="5">
        <v>1.19</v>
      </c>
      <c r="I89" s="4">
        <v>1306</v>
      </c>
      <c r="J89" s="4">
        <v>8614</v>
      </c>
      <c r="K89" s="4">
        <v>123</v>
      </c>
      <c r="L89" s="4">
        <v>-406</v>
      </c>
      <c r="M89" s="4">
        <v>-95</v>
      </c>
      <c r="N89" s="5">
        <v>1.3374999999999999</v>
      </c>
      <c r="O89" s="5">
        <v>0.37069999999999997</v>
      </c>
      <c r="P89" s="6">
        <v>1.6136999999999999</v>
      </c>
      <c r="Q89" s="6">
        <v>0.5706</v>
      </c>
      <c r="R89" s="7">
        <v>1.2685</v>
      </c>
      <c r="S89" s="5">
        <v>0.31169999999999998</v>
      </c>
      <c r="T89" s="5">
        <v>-12.4078</v>
      </c>
      <c r="U89" s="5">
        <v>3.2867999999999999</v>
      </c>
      <c r="V89" s="4">
        <v>280000</v>
      </c>
      <c r="W89" s="5">
        <v>3.1568000000000001</v>
      </c>
      <c r="X89" s="4">
        <f t="shared" si="6"/>
        <v>31000</v>
      </c>
      <c r="Y89" s="4">
        <f t="shared" si="7"/>
        <v>11531</v>
      </c>
      <c r="Z89">
        <f t="shared" si="8"/>
        <v>0</v>
      </c>
    </row>
    <row r="90" spans="1:26" x14ac:dyDescent="0.3">
      <c r="A90">
        <v>2010</v>
      </c>
      <c r="B90" t="s">
        <v>33</v>
      </c>
      <c r="C90" t="s">
        <v>34</v>
      </c>
      <c r="D90" s="5">
        <v>8.2200000000000006</v>
      </c>
      <c r="E90" s="3">
        <v>43360</v>
      </c>
      <c r="F90" s="4">
        <v>11986</v>
      </c>
      <c r="G90" s="4">
        <v>235</v>
      </c>
      <c r="H90" s="5">
        <v>1.99</v>
      </c>
      <c r="I90" s="4">
        <v>1561</v>
      </c>
      <c r="J90" s="4">
        <v>9435</v>
      </c>
      <c r="K90" s="4">
        <v>1507</v>
      </c>
      <c r="L90" s="4">
        <v>-172</v>
      </c>
      <c r="M90" s="4">
        <v>-951</v>
      </c>
      <c r="N90" s="5">
        <v>1.3018000000000001</v>
      </c>
      <c r="O90" s="5">
        <v>0.26550000000000001</v>
      </c>
      <c r="P90" s="6">
        <v>2.9676999999999998</v>
      </c>
      <c r="Q90" s="6">
        <v>1.1287</v>
      </c>
      <c r="R90" s="7">
        <v>2.5150000000000001</v>
      </c>
      <c r="S90" s="5">
        <v>0.54200000000000004</v>
      </c>
      <c r="T90" s="5">
        <v>5.4337</v>
      </c>
      <c r="U90" s="5">
        <v>5.7911000000000001</v>
      </c>
      <c r="V90" s="4">
        <v>290000</v>
      </c>
      <c r="W90" s="5">
        <v>1.64</v>
      </c>
      <c r="X90" s="4">
        <f t="shared" si="6"/>
        <v>31374</v>
      </c>
      <c r="Y90" s="4">
        <f t="shared" si="7"/>
        <v>11751</v>
      </c>
      <c r="Z90">
        <f t="shared" si="8"/>
        <v>0</v>
      </c>
    </row>
    <row r="91" spans="1:26" x14ac:dyDescent="0.3">
      <c r="A91">
        <v>2009</v>
      </c>
      <c r="B91" t="s">
        <v>33</v>
      </c>
      <c r="C91" t="s">
        <v>34</v>
      </c>
      <c r="D91" s="5">
        <v>8.98</v>
      </c>
      <c r="E91" s="3">
        <v>46770</v>
      </c>
      <c r="F91" s="4">
        <v>12652</v>
      </c>
      <c r="G91" s="4">
        <v>53</v>
      </c>
      <c r="H91" s="5">
        <v>0.42</v>
      </c>
      <c r="I91" s="4">
        <v>1283</v>
      </c>
      <c r="J91" s="4">
        <v>9699</v>
      </c>
      <c r="K91" s="4">
        <v>992</v>
      </c>
      <c r="L91" s="4">
        <v>-637</v>
      </c>
      <c r="M91" s="4">
        <v>-643</v>
      </c>
      <c r="N91" s="5">
        <v>1.3411999999999999</v>
      </c>
      <c r="O91" s="5">
        <v>0.30099999999999999</v>
      </c>
      <c r="P91" s="6">
        <v>1.0206999999999999</v>
      </c>
      <c r="Q91" s="6">
        <v>0.39069999999999999</v>
      </c>
      <c r="R91" s="7">
        <v>0.83679999999999999</v>
      </c>
      <c r="S91" s="5">
        <v>0.1133</v>
      </c>
      <c r="T91" s="5">
        <v>4.5747999999999998</v>
      </c>
      <c r="U91" s="5">
        <v>1.9704999999999999</v>
      </c>
      <c r="V91" s="4">
        <v>291000</v>
      </c>
      <c r="W91" s="5">
        <v>-0.35549999999999998</v>
      </c>
      <c r="X91" s="4">
        <f t="shared" si="6"/>
        <v>34118</v>
      </c>
      <c r="Y91" s="4">
        <f t="shared" si="7"/>
        <v>12599</v>
      </c>
      <c r="Z91">
        <f t="shared" si="8"/>
        <v>0</v>
      </c>
    </row>
    <row r="92" spans="1:26" x14ac:dyDescent="0.3">
      <c r="A92">
        <v>2022</v>
      </c>
      <c r="B92" t="s">
        <v>35</v>
      </c>
      <c r="C92" t="s">
        <v>36</v>
      </c>
      <c r="D92" s="5">
        <v>186.39</v>
      </c>
      <c r="E92" s="3">
        <v>23182.6</v>
      </c>
      <c r="F92" s="4">
        <v>13207.2</v>
      </c>
      <c r="G92" s="4">
        <v>6177.4</v>
      </c>
      <c r="H92" s="5">
        <v>8.33</v>
      </c>
      <c r="I92" s="4">
        <v>11241.6</v>
      </c>
      <c r="J92" s="4">
        <v>-6003.4</v>
      </c>
      <c r="K92" s="4">
        <v>7386.7</v>
      </c>
      <c r="L92" s="4">
        <v>-2678.1</v>
      </c>
      <c r="M92" s="4">
        <v>-6580.2</v>
      </c>
      <c r="N92" s="5">
        <v>1.4266000000000001</v>
      </c>
      <c r="O92" s="5">
        <v>-5.9805000000000001</v>
      </c>
      <c r="P92" s="6">
        <v>-102.89830000000001</v>
      </c>
      <c r="Q92" s="6">
        <v>12.248100000000001</v>
      </c>
      <c r="R92" s="7">
        <v>20.6601</v>
      </c>
      <c r="S92" s="5">
        <v>26.646699999999999</v>
      </c>
      <c r="T92" s="5">
        <v>-2.1322999999999999</v>
      </c>
      <c r="U92" s="5">
        <v>-69.379400000000004</v>
      </c>
      <c r="V92" s="4">
        <v>150000</v>
      </c>
      <c r="W92" s="5">
        <v>8.0028000000000006</v>
      </c>
      <c r="X92" s="4">
        <f t="shared" si="6"/>
        <v>9975.3999999999978</v>
      </c>
      <c r="Y92" s="4">
        <f t="shared" si="7"/>
        <v>7029.8000000000011</v>
      </c>
      <c r="Z92">
        <f t="shared" si="8"/>
        <v>0</v>
      </c>
    </row>
    <row r="93" spans="1:26" x14ac:dyDescent="0.3">
      <c r="A93">
        <v>2021</v>
      </c>
      <c r="B93" t="s">
        <v>35</v>
      </c>
      <c r="C93" t="s">
        <v>36</v>
      </c>
      <c r="D93" s="5">
        <v>193.02</v>
      </c>
      <c r="E93" s="3">
        <v>23222.9</v>
      </c>
      <c r="F93" s="4">
        <v>12580.2</v>
      </c>
      <c r="G93" s="4">
        <v>7545.2</v>
      </c>
      <c r="H93" s="5">
        <v>10.039999999999999</v>
      </c>
      <c r="I93" s="4">
        <v>12224.1</v>
      </c>
      <c r="J93" s="4">
        <v>-4601</v>
      </c>
      <c r="K93" s="4">
        <v>9141.5</v>
      </c>
      <c r="L93" s="4">
        <v>-2165.6999999999998</v>
      </c>
      <c r="M93" s="4">
        <v>-5595.6</v>
      </c>
      <c r="N93" s="5">
        <v>1.7782</v>
      </c>
      <c r="O93" s="5">
        <v>-7.7423999999999999</v>
      </c>
      <c r="P93" s="6">
        <v>-163.99029999999999</v>
      </c>
      <c r="Q93" s="6">
        <v>14.010400000000001</v>
      </c>
      <c r="R93" s="7">
        <v>24.322299999999998</v>
      </c>
      <c r="S93" s="5">
        <v>32.490299999999998</v>
      </c>
      <c r="T93" s="5">
        <v>3.3856999999999999</v>
      </c>
      <c r="U93" s="5">
        <v>-102.19</v>
      </c>
      <c r="V93" s="4">
        <v>200000</v>
      </c>
      <c r="W93" s="5">
        <v>4.6978999999999997</v>
      </c>
      <c r="X93" s="4">
        <f t="shared" si="6"/>
        <v>10642.7</v>
      </c>
      <c r="Y93" s="4">
        <f t="shared" si="7"/>
        <v>5035.0000000000009</v>
      </c>
      <c r="Z93">
        <f t="shared" si="8"/>
        <v>0</v>
      </c>
    </row>
    <row r="94" spans="1:26" x14ac:dyDescent="0.3">
      <c r="A94">
        <v>2020</v>
      </c>
      <c r="B94" t="s">
        <v>35</v>
      </c>
      <c r="C94" t="s">
        <v>36</v>
      </c>
      <c r="D94" s="5">
        <v>200.31</v>
      </c>
      <c r="E94" s="3">
        <v>19207.8</v>
      </c>
      <c r="F94" s="4">
        <v>9752.1010000000006</v>
      </c>
      <c r="G94" s="4">
        <v>4730.5</v>
      </c>
      <c r="H94" s="5">
        <v>6.31</v>
      </c>
      <c r="I94" s="4">
        <v>9075.4</v>
      </c>
      <c r="J94" s="4">
        <v>-7824.9</v>
      </c>
      <c r="K94" s="4">
        <v>6265.2</v>
      </c>
      <c r="L94" s="4">
        <v>-1545.8</v>
      </c>
      <c r="M94" s="4">
        <v>-2249</v>
      </c>
      <c r="N94" s="5">
        <v>1.01</v>
      </c>
      <c r="O94" s="5">
        <v>-4.7847999999999997</v>
      </c>
      <c r="P94" s="6">
        <v>-60.454500000000003</v>
      </c>
      <c r="Q94" s="6">
        <v>8.9887999999999995</v>
      </c>
      <c r="R94" s="7">
        <v>17.282299999999999</v>
      </c>
      <c r="S94" s="5">
        <v>24.628</v>
      </c>
      <c r="T94" s="5">
        <v>-1.4852000000000001</v>
      </c>
      <c r="U94" s="5">
        <v>-44.635800000000003</v>
      </c>
      <c r="V94" s="4">
        <v>200000</v>
      </c>
      <c r="W94" s="5">
        <v>1.2336</v>
      </c>
      <c r="X94" s="4">
        <f t="shared" si="6"/>
        <v>9455.6989999999987</v>
      </c>
      <c r="Y94" s="4">
        <f t="shared" si="7"/>
        <v>5021.6010000000006</v>
      </c>
      <c r="Z94">
        <f t="shared" si="8"/>
        <v>0</v>
      </c>
    </row>
    <row r="95" spans="1:26" x14ac:dyDescent="0.3">
      <c r="A95">
        <v>2019</v>
      </c>
      <c r="B95" t="s">
        <v>35</v>
      </c>
      <c r="C95" t="s">
        <v>36</v>
      </c>
      <c r="D95" s="5">
        <v>159.88999999999999</v>
      </c>
      <c r="E95" s="3">
        <v>21364.400000000001</v>
      </c>
      <c r="F95" s="4">
        <v>11179.4</v>
      </c>
      <c r="G95" s="4">
        <v>6025.4</v>
      </c>
      <c r="H95" s="5">
        <v>7.88</v>
      </c>
      <c r="I95" s="4">
        <v>10687.7</v>
      </c>
      <c r="J95" s="4">
        <v>-8210.2999999999993</v>
      </c>
      <c r="K95" s="4">
        <v>8122.1</v>
      </c>
      <c r="L95" s="4">
        <v>-3071.1</v>
      </c>
      <c r="M95" s="4">
        <v>-4994.8</v>
      </c>
      <c r="N95" s="5">
        <v>0.98260000000000003</v>
      </c>
      <c r="O95" s="5">
        <v>-4.1627000000000001</v>
      </c>
      <c r="P95" s="6">
        <v>-73.388300000000001</v>
      </c>
      <c r="Q95" s="6">
        <v>12.6822</v>
      </c>
      <c r="R95" s="7">
        <v>23.257100000000001</v>
      </c>
      <c r="S95" s="5">
        <v>28.202999999999999</v>
      </c>
      <c r="T95" s="5">
        <v>2.1046</v>
      </c>
      <c r="U95" s="5">
        <v>-55.3414</v>
      </c>
      <c r="V95" s="4">
        <v>205000</v>
      </c>
      <c r="W95" s="5">
        <v>1.8122</v>
      </c>
      <c r="X95" s="4">
        <f t="shared" si="6"/>
        <v>10185.000000000002</v>
      </c>
      <c r="Y95" s="4">
        <f t="shared" si="7"/>
        <v>5154</v>
      </c>
      <c r="Z95">
        <f t="shared" si="8"/>
        <v>0</v>
      </c>
    </row>
    <row r="96" spans="1:26" x14ac:dyDescent="0.3">
      <c r="A96">
        <v>2018</v>
      </c>
      <c r="B96" t="s">
        <v>35</v>
      </c>
      <c r="C96" t="s">
        <v>36</v>
      </c>
      <c r="D96" s="5">
        <v>148.82</v>
      </c>
      <c r="E96" s="3">
        <v>21257.9</v>
      </c>
      <c r="F96" s="4">
        <v>10832.6</v>
      </c>
      <c r="G96" s="4">
        <v>5924.3</v>
      </c>
      <c r="H96" s="5">
        <v>7.54</v>
      </c>
      <c r="I96" s="4">
        <v>10304.6</v>
      </c>
      <c r="J96" s="4">
        <v>-6258.4</v>
      </c>
      <c r="K96" s="4">
        <v>6966.7</v>
      </c>
      <c r="L96" s="4">
        <v>-2455.1</v>
      </c>
      <c r="M96" s="4">
        <v>-5949.6</v>
      </c>
      <c r="N96" s="5">
        <v>1.3631</v>
      </c>
      <c r="O96" s="5">
        <v>-4.9653999999999998</v>
      </c>
      <c r="P96" s="6">
        <v>-94.661600000000007</v>
      </c>
      <c r="Q96" s="6">
        <v>18.055700000000002</v>
      </c>
      <c r="R96" s="7">
        <v>23.872</v>
      </c>
      <c r="S96" s="5">
        <v>27.8687</v>
      </c>
      <c r="T96" s="5">
        <v>0.84360000000000002</v>
      </c>
      <c r="U96" s="5">
        <v>-68.968199999999996</v>
      </c>
      <c r="V96" s="4">
        <v>210000</v>
      </c>
      <c r="W96" s="5">
        <v>2.4426000000000001</v>
      </c>
      <c r="X96" s="4">
        <f t="shared" si="6"/>
        <v>10425.300000000001</v>
      </c>
      <c r="Y96" s="4">
        <f t="shared" si="7"/>
        <v>4908.3</v>
      </c>
      <c r="Z96">
        <f t="shared" si="8"/>
        <v>0</v>
      </c>
    </row>
    <row r="97" spans="1:26" x14ac:dyDescent="0.3">
      <c r="A97">
        <v>2017</v>
      </c>
      <c r="B97" t="s">
        <v>35</v>
      </c>
      <c r="C97" t="s">
        <v>36</v>
      </c>
      <c r="D97" s="5">
        <v>136.88999999999999</v>
      </c>
      <c r="E97" s="3">
        <v>22820.400000000001</v>
      </c>
      <c r="F97" s="4">
        <v>10620.8</v>
      </c>
      <c r="G97" s="4">
        <v>5192.3</v>
      </c>
      <c r="H97" s="5">
        <v>6.37</v>
      </c>
      <c r="I97" s="4">
        <v>10916.1</v>
      </c>
      <c r="J97" s="4">
        <v>-3268</v>
      </c>
      <c r="K97" s="4">
        <v>5551.2</v>
      </c>
      <c r="L97" s="4">
        <v>562</v>
      </c>
      <c r="M97" s="4">
        <v>-5310.8</v>
      </c>
      <c r="N97" s="5">
        <v>1.8429</v>
      </c>
      <c r="O97" s="5">
        <v>-9.0381</v>
      </c>
      <c r="P97" s="6">
        <v>-158.88319999999999</v>
      </c>
      <c r="Q97" s="6">
        <v>15.360200000000001</v>
      </c>
      <c r="R97" s="7">
        <v>19.766300000000001</v>
      </c>
      <c r="S97" s="5">
        <v>22.7529</v>
      </c>
      <c r="T97" s="5">
        <v>-0.27929999999999999</v>
      </c>
      <c r="U97" s="5">
        <v>-91.936499999999995</v>
      </c>
      <c r="V97" s="4">
        <v>235000</v>
      </c>
      <c r="W97" s="5">
        <v>2.1301000000000001</v>
      </c>
      <c r="X97" s="4">
        <f t="shared" si="6"/>
        <v>12199.600000000002</v>
      </c>
      <c r="Y97" s="4">
        <f t="shared" si="7"/>
        <v>5428.4999999999991</v>
      </c>
      <c r="Z97">
        <f t="shared" si="8"/>
        <v>0</v>
      </c>
    </row>
    <row r="98" spans="1:26" x14ac:dyDescent="0.3">
      <c r="A98">
        <v>2016</v>
      </c>
      <c r="B98" t="s">
        <v>35</v>
      </c>
      <c r="C98" t="s">
        <v>36</v>
      </c>
      <c r="D98" s="5">
        <v>137.21</v>
      </c>
      <c r="E98" s="3">
        <v>24621.9</v>
      </c>
      <c r="F98" s="4">
        <v>10204.700000000001</v>
      </c>
      <c r="G98" s="4">
        <v>4686.5</v>
      </c>
      <c r="H98" s="5">
        <v>5.44</v>
      </c>
      <c r="I98" s="4">
        <v>9261.0020000000004</v>
      </c>
      <c r="J98" s="4">
        <v>-2204.3000000000002</v>
      </c>
      <c r="K98" s="4">
        <v>6059.6</v>
      </c>
      <c r="L98" s="4">
        <v>-981.6</v>
      </c>
      <c r="M98" s="4">
        <v>-11262.4</v>
      </c>
      <c r="N98" s="5">
        <v>1.3979999999999999</v>
      </c>
      <c r="O98" s="5">
        <v>-11.775</v>
      </c>
      <c r="P98" s="6">
        <v>-212.6069</v>
      </c>
      <c r="Q98" s="6">
        <v>15.1061</v>
      </c>
      <c r="R98" s="7">
        <v>19.7958</v>
      </c>
      <c r="S98" s="5">
        <v>19.033899999999999</v>
      </c>
      <c r="T98" s="5">
        <v>-0.21</v>
      </c>
      <c r="U98" s="5">
        <v>-103.20869999999999</v>
      </c>
      <c r="V98" s="4">
        <v>375000</v>
      </c>
      <c r="W98" s="5">
        <v>1.2616000000000001</v>
      </c>
      <c r="X98" s="4">
        <f t="shared" ref="X98:X129" si="9">E98-F98</f>
        <v>14417.2</v>
      </c>
      <c r="Y98" s="4">
        <f t="shared" ref="Y98:Y129" si="10">F98-G98</f>
        <v>5518.2000000000007</v>
      </c>
      <c r="Z98">
        <f t="shared" ref="Z98:Z129" si="11">COUNTBLANK(A98:Y98)</f>
        <v>0</v>
      </c>
    </row>
    <row r="99" spans="1:26" x14ac:dyDescent="0.3">
      <c r="A99">
        <v>2015</v>
      </c>
      <c r="B99" t="s">
        <v>35</v>
      </c>
      <c r="C99" t="s">
        <v>36</v>
      </c>
      <c r="D99" s="5">
        <v>101.08</v>
      </c>
      <c r="E99" s="3">
        <v>25413</v>
      </c>
      <c r="F99" s="4">
        <v>9789.2000000000007</v>
      </c>
      <c r="G99" s="4">
        <v>4529.3</v>
      </c>
      <c r="H99" s="5">
        <v>4.8</v>
      </c>
      <c r="I99" s="4">
        <v>8701.2000000000007</v>
      </c>
      <c r="J99" s="4">
        <v>7087.9</v>
      </c>
      <c r="K99" s="4">
        <v>6539.1</v>
      </c>
      <c r="L99" s="4">
        <v>-1420</v>
      </c>
      <c r="M99" s="4">
        <v>735.3</v>
      </c>
      <c r="N99" s="5">
        <v>3.2684000000000002</v>
      </c>
      <c r="O99" s="5">
        <v>3.4033000000000002</v>
      </c>
      <c r="P99" s="6">
        <v>63.901899999999998</v>
      </c>
      <c r="Q99" s="6">
        <v>11.938499999999999</v>
      </c>
      <c r="R99" s="7">
        <v>14.5123</v>
      </c>
      <c r="S99" s="5">
        <v>17.822800000000001</v>
      </c>
      <c r="T99" s="5">
        <v>0.93540000000000001</v>
      </c>
      <c r="U99" s="5">
        <v>99.074799999999996</v>
      </c>
      <c r="V99" s="4">
        <v>420000</v>
      </c>
      <c r="W99" s="5">
        <v>0.1186</v>
      </c>
      <c r="X99" s="4">
        <f t="shared" si="9"/>
        <v>15623.8</v>
      </c>
      <c r="Y99" s="4">
        <f t="shared" si="10"/>
        <v>5259.9000000000005</v>
      </c>
      <c r="Z99">
        <f t="shared" si="11"/>
        <v>0</v>
      </c>
    </row>
    <row r="100" spans="1:26" x14ac:dyDescent="0.3">
      <c r="A100">
        <v>2014</v>
      </c>
      <c r="B100" t="s">
        <v>35</v>
      </c>
      <c r="C100" t="s">
        <v>36</v>
      </c>
      <c r="D100" s="5">
        <v>108.48</v>
      </c>
      <c r="E100" s="3">
        <v>27441.3</v>
      </c>
      <c r="F100" s="4">
        <v>10455.700000000001</v>
      </c>
      <c r="G100" s="4">
        <v>4757.8</v>
      </c>
      <c r="H100" s="5">
        <v>4.82</v>
      </c>
      <c r="I100" s="4">
        <v>9593.7009999999991</v>
      </c>
      <c r="J100" s="4">
        <v>12853.4</v>
      </c>
      <c r="K100" s="4">
        <v>6730.3</v>
      </c>
      <c r="L100" s="4">
        <v>-2304.9</v>
      </c>
      <c r="M100" s="4">
        <v>-4618.3</v>
      </c>
      <c r="N100" s="5">
        <v>1.5232000000000001</v>
      </c>
      <c r="O100" s="5">
        <v>1.1619999999999999</v>
      </c>
      <c r="P100" s="6">
        <v>37.015900000000002</v>
      </c>
      <c r="Q100" s="6">
        <v>13.900600000000001</v>
      </c>
      <c r="R100" s="7">
        <v>17.121099999999998</v>
      </c>
      <c r="S100" s="5">
        <v>17.338100000000001</v>
      </c>
      <c r="T100" s="5">
        <v>2.2100000000000002E-2</v>
      </c>
      <c r="U100" s="5">
        <v>47.0227</v>
      </c>
      <c r="V100" s="4">
        <v>420000</v>
      </c>
      <c r="W100" s="5">
        <v>1.6222000000000001</v>
      </c>
      <c r="X100" s="4">
        <f t="shared" si="9"/>
        <v>16985.599999999999</v>
      </c>
      <c r="Y100" s="4">
        <f t="shared" si="10"/>
        <v>5697.9000000000005</v>
      </c>
      <c r="Z100">
        <f t="shared" si="11"/>
        <v>0</v>
      </c>
    </row>
    <row r="101" spans="1:26" x14ac:dyDescent="0.3">
      <c r="A101">
        <v>2013</v>
      </c>
      <c r="B101" t="s">
        <v>35</v>
      </c>
      <c r="C101" t="s">
        <v>36</v>
      </c>
      <c r="D101" s="5">
        <v>91.19</v>
      </c>
      <c r="E101" s="3">
        <v>28105.7</v>
      </c>
      <c r="F101" s="4">
        <v>10902.7</v>
      </c>
      <c r="G101" s="4">
        <v>5585.9</v>
      </c>
      <c r="H101" s="5">
        <v>5.55</v>
      </c>
      <c r="I101" s="4">
        <v>10349.4</v>
      </c>
      <c r="J101" s="4">
        <v>16009.7</v>
      </c>
      <c r="K101" s="4">
        <v>7120.7</v>
      </c>
      <c r="L101" s="4">
        <v>-2673.8</v>
      </c>
      <c r="M101" s="4">
        <v>-4043</v>
      </c>
      <c r="N101" s="5">
        <v>1.5931</v>
      </c>
      <c r="O101" s="5">
        <v>0.88260000000000005</v>
      </c>
      <c r="P101" s="6">
        <v>34.890700000000002</v>
      </c>
      <c r="Q101" s="6">
        <v>15.251099999999999</v>
      </c>
      <c r="R101" s="7">
        <v>18.5335</v>
      </c>
      <c r="S101" s="5">
        <v>19.874600000000001</v>
      </c>
      <c r="T101" s="5">
        <v>0.43109999999999998</v>
      </c>
      <c r="U101" s="5">
        <v>42.520400000000002</v>
      </c>
      <c r="V101" s="4">
        <v>440000</v>
      </c>
      <c r="W101" s="5">
        <v>1.4648000000000001</v>
      </c>
      <c r="X101" s="4">
        <f t="shared" si="9"/>
        <v>17203</v>
      </c>
      <c r="Y101" s="4">
        <f t="shared" si="10"/>
        <v>5316.8000000000011</v>
      </c>
      <c r="Z101">
        <f t="shared" si="11"/>
        <v>0</v>
      </c>
    </row>
    <row r="102" spans="1:26" x14ac:dyDescent="0.3">
      <c r="A102">
        <v>2012</v>
      </c>
      <c r="B102" t="s">
        <v>35</v>
      </c>
      <c r="C102" t="s">
        <v>36</v>
      </c>
      <c r="D102" s="5">
        <v>96.55</v>
      </c>
      <c r="E102" s="3">
        <v>27567</v>
      </c>
      <c r="F102" s="4">
        <v>10816.3</v>
      </c>
      <c r="G102" s="4">
        <v>5464.8</v>
      </c>
      <c r="H102" s="5">
        <v>5.36</v>
      </c>
      <c r="I102" s="4">
        <v>10093.1</v>
      </c>
      <c r="J102" s="4">
        <v>15293.6</v>
      </c>
      <c r="K102" s="4">
        <v>6966.1</v>
      </c>
      <c r="L102" s="4">
        <v>-3167.3</v>
      </c>
      <c r="M102" s="4">
        <v>-3849.8</v>
      </c>
      <c r="N102" s="5">
        <v>1.4463999999999999</v>
      </c>
      <c r="O102" s="5">
        <v>0.89139999999999997</v>
      </c>
      <c r="P102" s="6">
        <v>35.732599999999998</v>
      </c>
      <c r="Q102" s="6">
        <v>15.443199999999999</v>
      </c>
      <c r="R102" s="7">
        <v>18.892299999999999</v>
      </c>
      <c r="S102" s="5">
        <v>19.823699999999999</v>
      </c>
      <c r="T102" s="5">
        <v>-0.3911</v>
      </c>
      <c r="U102" s="5">
        <v>43.754800000000003</v>
      </c>
      <c r="V102" s="4">
        <v>440000</v>
      </c>
      <c r="W102" s="5">
        <v>2.0693000000000001</v>
      </c>
      <c r="X102" s="4">
        <f t="shared" si="9"/>
        <v>16750.7</v>
      </c>
      <c r="Y102" s="4">
        <f t="shared" si="10"/>
        <v>5351.4999999999991</v>
      </c>
      <c r="Z102">
        <f t="shared" si="11"/>
        <v>0</v>
      </c>
    </row>
    <row r="103" spans="1:26" x14ac:dyDescent="0.3">
      <c r="A103">
        <v>2011</v>
      </c>
      <c r="B103" t="s">
        <v>35</v>
      </c>
      <c r="C103" t="s">
        <v>36</v>
      </c>
      <c r="D103" s="5">
        <v>88.56</v>
      </c>
      <c r="E103" s="3">
        <v>27006</v>
      </c>
      <c r="F103" s="4">
        <v>10686.6</v>
      </c>
      <c r="G103" s="4">
        <v>5503.1</v>
      </c>
      <c r="H103" s="5">
        <v>5.27</v>
      </c>
      <c r="I103" s="4">
        <v>9944.7009999999991</v>
      </c>
      <c r="J103" s="4">
        <v>14390.2</v>
      </c>
      <c r="K103" s="4">
        <v>7150.1</v>
      </c>
      <c r="L103" s="4">
        <v>-2570.9</v>
      </c>
      <c r="M103" s="4">
        <v>-4533</v>
      </c>
      <c r="N103" s="5">
        <v>1.2546999999999999</v>
      </c>
      <c r="O103" s="5">
        <v>0.86870000000000003</v>
      </c>
      <c r="P103" s="6">
        <v>38.241999999999997</v>
      </c>
      <c r="Q103" s="6">
        <v>16.6812</v>
      </c>
      <c r="R103" s="7">
        <v>20.747599999999998</v>
      </c>
      <c r="S103" s="5">
        <v>20.377300000000002</v>
      </c>
      <c r="T103" s="5">
        <v>0.33689999999999998</v>
      </c>
      <c r="U103" s="5">
        <v>46.886800000000001</v>
      </c>
      <c r="V103" s="4">
        <v>420000</v>
      </c>
      <c r="W103" s="5">
        <v>3.1568000000000001</v>
      </c>
      <c r="X103" s="4">
        <f t="shared" si="9"/>
        <v>16319.4</v>
      </c>
      <c r="Y103" s="4">
        <f t="shared" si="10"/>
        <v>5183.5</v>
      </c>
      <c r="Z103">
        <f t="shared" si="11"/>
        <v>0</v>
      </c>
    </row>
    <row r="104" spans="1:26" x14ac:dyDescent="0.3">
      <c r="A104">
        <v>2010</v>
      </c>
      <c r="B104" t="s">
        <v>35</v>
      </c>
      <c r="C104" t="s">
        <v>36</v>
      </c>
      <c r="D104" s="5">
        <v>102.66</v>
      </c>
      <c r="E104" s="3">
        <v>24074.6</v>
      </c>
      <c r="F104" s="4">
        <v>9637.2999999999993</v>
      </c>
      <c r="G104" s="4">
        <v>4946.3</v>
      </c>
      <c r="H104" s="5">
        <v>4.58</v>
      </c>
      <c r="I104" s="4">
        <v>8749.2999999999993</v>
      </c>
      <c r="J104" s="4">
        <v>14634.2</v>
      </c>
      <c r="K104" s="4">
        <v>6341.6</v>
      </c>
      <c r="L104" s="4">
        <v>-2056</v>
      </c>
      <c r="M104" s="4">
        <v>-3728.7</v>
      </c>
      <c r="N104" s="5">
        <v>1.4937</v>
      </c>
      <c r="O104" s="5">
        <v>0.78620000000000001</v>
      </c>
      <c r="P104" s="6">
        <v>33.799599999999998</v>
      </c>
      <c r="Q104" s="6">
        <v>15.469200000000001</v>
      </c>
      <c r="R104" s="7">
        <v>18.928699999999999</v>
      </c>
      <c r="S104" s="5">
        <v>20.5457</v>
      </c>
      <c r="T104" s="5">
        <v>0.46300000000000002</v>
      </c>
      <c r="U104" s="5">
        <v>41.054600000000001</v>
      </c>
      <c r="V104" s="4">
        <v>400000</v>
      </c>
      <c r="W104" s="5">
        <v>1.64</v>
      </c>
      <c r="X104" s="4">
        <f t="shared" si="9"/>
        <v>14437.3</v>
      </c>
      <c r="Y104" s="4">
        <f t="shared" si="10"/>
        <v>4690.9999999999991</v>
      </c>
      <c r="Z104">
        <f t="shared" si="11"/>
        <v>0</v>
      </c>
    </row>
    <row r="105" spans="1:26" x14ac:dyDescent="0.3">
      <c r="A105">
        <v>2009</v>
      </c>
      <c r="B105" t="s">
        <v>35</v>
      </c>
      <c r="C105" t="s">
        <v>36</v>
      </c>
      <c r="D105" s="5">
        <v>81.099999999999994</v>
      </c>
      <c r="E105" s="3">
        <v>22744.7</v>
      </c>
      <c r="F105" s="4">
        <v>8791.7999999999993</v>
      </c>
      <c r="G105" s="4">
        <v>4551</v>
      </c>
      <c r="H105" s="5">
        <v>4.1100000000000003</v>
      </c>
      <c r="I105" s="4">
        <v>8057.2</v>
      </c>
      <c r="J105" s="4">
        <v>14033.9</v>
      </c>
      <c r="K105" s="4">
        <v>5751</v>
      </c>
      <c r="L105" s="4">
        <v>-1655.3</v>
      </c>
      <c r="M105" s="4">
        <v>-4421</v>
      </c>
      <c r="N105" s="5">
        <v>1.1431</v>
      </c>
      <c r="O105" s="5">
        <v>0.75380000000000003</v>
      </c>
      <c r="P105" s="6">
        <v>32.428600000000003</v>
      </c>
      <c r="Q105" s="6">
        <v>15.0571</v>
      </c>
      <c r="R105" s="7">
        <v>18.5044</v>
      </c>
      <c r="S105" s="5">
        <v>20.0091</v>
      </c>
      <c r="T105" s="5">
        <v>3.4304999999999999</v>
      </c>
      <c r="U105" s="5">
        <v>39.203400000000002</v>
      </c>
      <c r="V105" s="4">
        <v>385000</v>
      </c>
      <c r="W105" s="5">
        <v>-0.35549999999999998</v>
      </c>
      <c r="X105" s="4">
        <f t="shared" si="9"/>
        <v>13952.900000000001</v>
      </c>
      <c r="Y105" s="4">
        <f t="shared" si="10"/>
        <v>4240.7999999999993</v>
      </c>
      <c r="Z105">
        <f t="shared" si="11"/>
        <v>0</v>
      </c>
    </row>
    <row r="106" spans="1:26" x14ac:dyDescent="0.3">
      <c r="A106">
        <v>2022</v>
      </c>
      <c r="B106" t="s">
        <v>37</v>
      </c>
      <c r="C106" t="s">
        <v>38</v>
      </c>
      <c r="D106" s="5">
        <v>32.53</v>
      </c>
      <c r="E106" s="3">
        <v>30868.080000000002</v>
      </c>
      <c r="F106" s="4">
        <v>30868.080000000002</v>
      </c>
      <c r="G106" s="4">
        <v>6212.9489999999996</v>
      </c>
      <c r="H106" s="5">
        <v>1.4743999999999999</v>
      </c>
      <c r="I106" s="4">
        <v>1</v>
      </c>
      <c r="J106" s="4">
        <v>85667.7</v>
      </c>
      <c r="K106" s="4">
        <v>37392.720000000001</v>
      </c>
      <c r="L106" s="4">
        <v>-26807.33</v>
      </c>
      <c r="M106" s="4">
        <v>860.88239999999996</v>
      </c>
      <c r="N106" s="5">
        <v>1</v>
      </c>
      <c r="O106" s="5">
        <v>7.1601999999999997</v>
      </c>
      <c r="P106" s="6">
        <v>8.6240000000000006</v>
      </c>
      <c r="Q106" s="6">
        <v>0.39460000000000001</v>
      </c>
      <c r="R106" s="7">
        <v>1.284</v>
      </c>
      <c r="S106" s="5">
        <v>21.161999999999999</v>
      </c>
      <c r="T106" s="5">
        <v>-6.5476999999999999</v>
      </c>
      <c r="U106" s="5">
        <v>9.7883999999999993</v>
      </c>
      <c r="V106" s="4">
        <v>87400</v>
      </c>
      <c r="W106" s="5">
        <v>8.0028000000000006</v>
      </c>
      <c r="X106" s="4">
        <f t="shared" si="9"/>
        <v>0</v>
      </c>
      <c r="Y106" s="4">
        <f t="shared" si="10"/>
        <v>24655.131000000001</v>
      </c>
      <c r="Z106">
        <f t="shared" si="11"/>
        <v>0</v>
      </c>
    </row>
    <row r="107" spans="1:26" x14ac:dyDescent="0.3">
      <c r="A107">
        <v>2021</v>
      </c>
      <c r="B107" t="s">
        <v>37</v>
      </c>
      <c r="C107" t="s">
        <v>38</v>
      </c>
      <c r="D107" s="5">
        <v>43.6</v>
      </c>
      <c r="E107" s="3">
        <v>30169.69</v>
      </c>
      <c r="F107" s="4">
        <v>30169.69</v>
      </c>
      <c r="G107" s="4">
        <v>8766.2630000000008</v>
      </c>
      <c r="H107" s="5">
        <v>2.0131000000000001</v>
      </c>
      <c r="I107" s="4">
        <v>1</v>
      </c>
      <c r="J107" s="4">
        <v>96547.15</v>
      </c>
      <c r="K107" s="4">
        <v>67268.52</v>
      </c>
      <c r="L107" s="4">
        <v>5871.6769999999997</v>
      </c>
      <c r="M107" s="4">
        <v>147.13570000000001</v>
      </c>
      <c r="N107" s="5">
        <v>1</v>
      </c>
      <c r="O107" s="5">
        <v>6.3395999999999999</v>
      </c>
      <c r="P107" s="6">
        <v>10.2918</v>
      </c>
      <c r="Q107" s="6">
        <v>0.52200000000000002</v>
      </c>
      <c r="R107" s="7">
        <v>1.6696</v>
      </c>
      <c r="S107" s="5">
        <v>28.216699999999999</v>
      </c>
      <c r="T107" s="5">
        <v>-1.4282999999999999</v>
      </c>
      <c r="U107" s="5">
        <v>11.6267</v>
      </c>
      <c r="V107" s="4">
        <v>81600</v>
      </c>
      <c r="W107" s="5">
        <v>4.6978999999999997</v>
      </c>
      <c r="X107" s="4">
        <f t="shared" si="9"/>
        <v>0</v>
      </c>
      <c r="Y107" s="4">
        <f t="shared" si="10"/>
        <v>21403.426999999996</v>
      </c>
      <c r="Z107">
        <f t="shared" si="11"/>
        <v>0</v>
      </c>
    </row>
    <row r="108" spans="1:26" x14ac:dyDescent="0.3">
      <c r="A108">
        <v>2020</v>
      </c>
      <c r="B108" t="s">
        <v>37</v>
      </c>
      <c r="C108" t="s">
        <v>38</v>
      </c>
      <c r="D108" s="5">
        <v>34.659999999999997</v>
      </c>
      <c r="E108" s="3">
        <v>27947.54</v>
      </c>
      <c r="F108" s="4">
        <v>27947.54</v>
      </c>
      <c r="G108" s="4">
        <v>1959.384</v>
      </c>
      <c r="H108" s="5">
        <v>0.44159999999999999</v>
      </c>
      <c r="I108" s="4">
        <v>1</v>
      </c>
      <c r="J108" s="4">
        <v>85876.479999999996</v>
      </c>
      <c r="K108" s="4">
        <v>73836.42</v>
      </c>
      <c r="L108" s="4">
        <v>-23594.78</v>
      </c>
      <c r="M108" s="4">
        <v>3507.8879999999999</v>
      </c>
      <c r="N108" s="5">
        <v>1</v>
      </c>
      <c r="O108" s="5">
        <v>6.0327000000000002</v>
      </c>
      <c r="P108" s="6">
        <v>3.6796000000000002</v>
      </c>
      <c r="Q108" s="6">
        <v>0.18240000000000001</v>
      </c>
      <c r="R108" s="7">
        <v>0.60199999999999998</v>
      </c>
      <c r="S108" s="5">
        <v>9.0146999999999995</v>
      </c>
      <c r="T108" s="5">
        <v>20.434100000000001</v>
      </c>
      <c r="U108" s="5">
        <v>4.1759000000000004</v>
      </c>
      <c r="V108" s="4">
        <v>83000</v>
      </c>
      <c r="W108" s="5">
        <v>1.2336</v>
      </c>
      <c r="X108" s="4">
        <f t="shared" si="9"/>
        <v>0</v>
      </c>
      <c r="Y108" s="4">
        <f t="shared" si="10"/>
        <v>25988.156000000003</v>
      </c>
      <c r="Z108">
        <f t="shared" si="11"/>
        <v>0</v>
      </c>
    </row>
    <row r="109" spans="1:26" x14ac:dyDescent="0.3">
      <c r="A109">
        <v>2019</v>
      </c>
      <c r="B109" t="s">
        <v>37</v>
      </c>
      <c r="C109" t="s">
        <v>38</v>
      </c>
      <c r="D109" s="5">
        <v>40.78</v>
      </c>
      <c r="E109" s="3">
        <v>27621.9</v>
      </c>
      <c r="F109" s="4">
        <v>27621.9</v>
      </c>
      <c r="G109" s="4">
        <v>4180.5709999999999</v>
      </c>
      <c r="H109" s="5">
        <v>0.72</v>
      </c>
      <c r="I109" s="4">
        <v>1</v>
      </c>
      <c r="J109" s="4">
        <v>83841.259999999995</v>
      </c>
      <c r="K109" s="4">
        <v>-15699.49</v>
      </c>
      <c r="L109" s="4">
        <v>-16377.52</v>
      </c>
      <c r="M109" s="4">
        <v>881.06100000000004</v>
      </c>
      <c r="N109" s="5">
        <v>1</v>
      </c>
      <c r="O109" s="5">
        <v>5.3348000000000004</v>
      </c>
      <c r="P109" s="6">
        <v>5.1081000000000003</v>
      </c>
      <c r="Q109" s="6">
        <v>0.29420000000000002</v>
      </c>
      <c r="R109" s="7">
        <v>0.92010000000000003</v>
      </c>
      <c r="S109" s="5">
        <v>16.602399999999999</v>
      </c>
      <c r="T109" s="5">
        <v>-6.2895000000000003</v>
      </c>
      <c r="U109" s="5">
        <v>5.8289</v>
      </c>
      <c r="V109" s="4">
        <v>80800</v>
      </c>
      <c r="W109" s="5">
        <v>1.8122</v>
      </c>
      <c r="X109" s="4">
        <f t="shared" si="9"/>
        <v>0</v>
      </c>
      <c r="Y109" s="4">
        <f t="shared" si="10"/>
        <v>23441.329000000002</v>
      </c>
      <c r="Z109">
        <f t="shared" si="11"/>
        <v>0</v>
      </c>
    </row>
    <row r="110" spans="1:26" x14ac:dyDescent="0.3">
      <c r="A110">
        <v>2018</v>
      </c>
      <c r="B110" t="s">
        <v>37</v>
      </c>
      <c r="C110" t="s">
        <v>38</v>
      </c>
      <c r="D110" s="5">
        <v>31.68</v>
      </c>
      <c r="E110" s="3">
        <v>28212.33</v>
      </c>
      <c r="F110" s="4">
        <v>28212.33</v>
      </c>
      <c r="G110" s="4">
        <v>1860.711</v>
      </c>
      <c r="H110" s="5">
        <v>0.49120000000000003</v>
      </c>
      <c r="I110" s="4">
        <v>1</v>
      </c>
      <c r="J110" s="4">
        <v>85132.21</v>
      </c>
      <c r="K110" s="4">
        <v>11351.14</v>
      </c>
      <c r="L110" s="4">
        <v>903.65959999999995</v>
      </c>
      <c r="M110" s="4">
        <v>-9059.2880000000005</v>
      </c>
      <c r="N110" s="5">
        <v>1</v>
      </c>
      <c r="O110" s="5">
        <v>5.8975</v>
      </c>
      <c r="P110" s="6">
        <v>3.7191000000000001</v>
      </c>
      <c r="Q110" s="6">
        <v>0.20930000000000001</v>
      </c>
      <c r="R110" s="7">
        <v>0.61860000000000004</v>
      </c>
      <c r="S110" s="5">
        <v>7.0876999999999999</v>
      </c>
      <c r="T110" s="5">
        <v>-15.571199999999999</v>
      </c>
      <c r="U110" s="5">
        <v>4.2504</v>
      </c>
      <c r="V110" s="4">
        <v>83500</v>
      </c>
      <c r="W110" s="5">
        <v>2.4426000000000001</v>
      </c>
      <c r="X110" s="4">
        <f t="shared" si="9"/>
        <v>0</v>
      </c>
      <c r="Y110" s="4">
        <f t="shared" si="10"/>
        <v>26351.619000000002</v>
      </c>
      <c r="Z110">
        <f t="shared" si="11"/>
        <v>0</v>
      </c>
    </row>
    <row r="111" spans="1:26" x14ac:dyDescent="0.3">
      <c r="A111">
        <v>2017</v>
      </c>
      <c r="B111" t="s">
        <v>37</v>
      </c>
      <c r="C111" t="s">
        <v>38</v>
      </c>
      <c r="D111" s="5">
        <v>45.79</v>
      </c>
      <c r="E111" s="3">
        <v>27162.75</v>
      </c>
      <c r="F111" s="4">
        <v>27162.75</v>
      </c>
      <c r="G111" s="4">
        <v>-2477.0729999999999</v>
      </c>
      <c r="H111" s="5">
        <v>-0.57299999999999995</v>
      </c>
      <c r="I111" s="4">
        <v>1</v>
      </c>
      <c r="J111" s="4">
        <v>85081.42</v>
      </c>
      <c r="K111" s="4">
        <v>78244.34</v>
      </c>
      <c r="L111" s="4">
        <v>4513.3770000000004</v>
      </c>
      <c r="M111" s="4">
        <v>1238.537</v>
      </c>
      <c r="N111" s="5">
        <v>1</v>
      </c>
      <c r="O111" s="5">
        <v>5.2797000000000001</v>
      </c>
      <c r="P111" s="6">
        <v>1.9706999999999999</v>
      </c>
      <c r="Q111" s="6">
        <v>0.1148</v>
      </c>
      <c r="R111" s="7">
        <v>0.38619999999999999</v>
      </c>
      <c r="S111" s="5">
        <v>-10.2561</v>
      </c>
      <c r="T111" s="5">
        <v>14.5974</v>
      </c>
      <c r="U111" s="5">
        <v>2.2366999999999999</v>
      </c>
      <c r="V111" s="4">
        <v>79900</v>
      </c>
      <c r="W111" s="5">
        <v>2.1301000000000001</v>
      </c>
      <c r="X111" s="4">
        <f t="shared" si="9"/>
        <v>0</v>
      </c>
      <c r="Y111" s="4">
        <f t="shared" si="10"/>
        <v>29639.823</v>
      </c>
      <c r="Z111">
        <f t="shared" si="11"/>
        <v>0</v>
      </c>
    </row>
    <row r="112" spans="1:26" x14ac:dyDescent="0.3">
      <c r="A112">
        <v>2016</v>
      </c>
      <c r="B112" t="s">
        <v>37</v>
      </c>
      <c r="C112" t="s">
        <v>38</v>
      </c>
      <c r="D112" s="5">
        <v>46.21</v>
      </c>
      <c r="E112" s="3">
        <v>29072.54</v>
      </c>
      <c r="F112" s="4">
        <v>29072.54</v>
      </c>
      <c r="G112" s="4">
        <v>2373.13</v>
      </c>
      <c r="H112" s="5">
        <v>0.55840000000000001</v>
      </c>
      <c r="I112" s="4">
        <v>1</v>
      </c>
      <c r="J112" s="4">
        <v>96720.98</v>
      </c>
      <c r="K112" s="4">
        <v>15295.92</v>
      </c>
      <c r="L112" s="4">
        <v>49749</v>
      </c>
      <c r="M112" s="4">
        <v>-1784.93</v>
      </c>
      <c r="N112" s="5">
        <v>1</v>
      </c>
      <c r="O112" s="5">
        <v>3.5002</v>
      </c>
      <c r="P112" s="6">
        <v>3.1345999999999998</v>
      </c>
      <c r="Q112" s="6">
        <v>0.18440000000000001</v>
      </c>
      <c r="R112" s="7">
        <v>0.8387</v>
      </c>
      <c r="S112" s="5">
        <v>9.1781000000000006</v>
      </c>
      <c r="T112" s="5">
        <v>-2.4382000000000001</v>
      </c>
      <c r="U112" s="5">
        <v>3.5150999999999999</v>
      </c>
      <c r="V112" s="4">
        <v>119300</v>
      </c>
      <c r="W112" s="5">
        <v>1.2616000000000001</v>
      </c>
      <c r="X112" s="4">
        <f t="shared" si="9"/>
        <v>0</v>
      </c>
      <c r="Y112" s="4">
        <f t="shared" si="10"/>
        <v>26699.41</v>
      </c>
      <c r="Z112">
        <f t="shared" si="11"/>
        <v>0</v>
      </c>
    </row>
    <row r="113" spans="1:26" x14ac:dyDescent="0.3">
      <c r="A113">
        <v>2015</v>
      </c>
      <c r="B113" t="s">
        <v>37</v>
      </c>
      <c r="C113" t="s">
        <v>38</v>
      </c>
      <c r="D113" s="5">
        <v>53.45</v>
      </c>
      <c r="E113" s="3">
        <v>38919.160000000003</v>
      </c>
      <c r="F113" s="4">
        <v>38919.160000000003</v>
      </c>
      <c r="G113" s="4">
        <v>-495.39600000000002</v>
      </c>
      <c r="H113" s="5">
        <v>-0.1162</v>
      </c>
      <c r="I113" s="4">
        <v>1</v>
      </c>
      <c r="J113" s="4">
        <v>100706.1</v>
      </c>
      <c r="K113" s="4">
        <v>24659.71</v>
      </c>
      <c r="L113" s="4">
        <v>-12895.59</v>
      </c>
      <c r="M113" s="4">
        <v>-674.28899999999999</v>
      </c>
      <c r="N113" s="5">
        <v>1</v>
      </c>
      <c r="O113" s="5">
        <v>3.6646000000000001</v>
      </c>
      <c r="P113" s="6">
        <v>0.94589999999999996</v>
      </c>
      <c r="Q113" s="6">
        <v>5.5599999999999997E-2</v>
      </c>
      <c r="R113" s="7">
        <v>0.251</v>
      </c>
      <c r="S113" s="5">
        <v>-1.3882000000000001</v>
      </c>
      <c r="T113" s="5">
        <v>9.9995999999999992</v>
      </c>
      <c r="U113" s="5">
        <v>1.0808</v>
      </c>
      <c r="V113" s="4">
        <v>129400</v>
      </c>
      <c r="W113" s="5">
        <v>0.1186</v>
      </c>
      <c r="X113" s="4">
        <f t="shared" si="9"/>
        <v>0</v>
      </c>
      <c r="Y113" s="4">
        <f t="shared" si="10"/>
        <v>39414.556000000004</v>
      </c>
      <c r="Z113">
        <f t="shared" si="11"/>
        <v>0</v>
      </c>
    </row>
    <row r="114" spans="1:26" x14ac:dyDescent="0.3">
      <c r="A114">
        <v>2014</v>
      </c>
      <c r="B114" t="s">
        <v>37</v>
      </c>
      <c r="C114" t="s">
        <v>38</v>
      </c>
      <c r="D114" s="5">
        <v>60.47</v>
      </c>
      <c r="E114" s="3">
        <v>41677.15</v>
      </c>
      <c r="F114" s="4">
        <v>41677.15</v>
      </c>
      <c r="G114" s="4">
        <v>-197.77160000000001</v>
      </c>
      <c r="H114" s="5">
        <v>-4.5999999999999999E-2</v>
      </c>
      <c r="I114" s="4">
        <v>1</v>
      </c>
      <c r="J114" s="4">
        <v>108705.4</v>
      </c>
      <c r="K114" s="4">
        <v>-17207.810000000001</v>
      </c>
      <c r="L114" s="4">
        <v>17560.509999999998</v>
      </c>
      <c r="M114" s="4">
        <v>-5039.8900000000003</v>
      </c>
      <c r="N114" s="5">
        <v>1</v>
      </c>
      <c r="O114" s="5">
        <v>5.0612000000000004</v>
      </c>
      <c r="P114" s="6">
        <v>1.2810999999999999</v>
      </c>
      <c r="Q114" s="6">
        <v>6.2199999999999998E-2</v>
      </c>
      <c r="R114" s="7">
        <v>0.36709999999999998</v>
      </c>
      <c r="S114" s="5">
        <v>-0.51900000000000002</v>
      </c>
      <c r="T114" s="5">
        <v>6.6557000000000004</v>
      </c>
      <c r="U114" s="5">
        <v>1.4624999999999999</v>
      </c>
      <c r="V114" s="4">
        <v>132300</v>
      </c>
      <c r="W114" s="5">
        <v>1.6222000000000001</v>
      </c>
      <c r="X114" s="4">
        <f t="shared" si="9"/>
        <v>0</v>
      </c>
      <c r="Y114" s="4">
        <f t="shared" si="10"/>
        <v>41874.921600000001</v>
      </c>
      <c r="Z114">
        <f t="shared" si="11"/>
        <v>0</v>
      </c>
    </row>
    <row r="115" spans="1:26" x14ac:dyDescent="0.3">
      <c r="A115">
        <v>2013</v>
      </c>
      <c r="B115" t="s">
        <v>37</v>
      </c>
      <c r="C115" t="s">
        <v>38</v>
      </c>
      <c r="D115" s="5">
        <v>55.49</v>
      </c>
      <c r="E115" s="3">
        <v>43712.69</v>
      </c>
      <c r="F115" s="4">
        <v>43712.69</v>
      </c>
      <c r="G115" s="4">
        <v>846.55679999999995</v>
      </c>
      <c r="H115" s="5">
        <v>0.23200000000000001</v>
      </c>
      <c r="I115" s="4">
        <v>1</v>
      </c>
      <c r="J115" s="4">
        <v>100067.4</v>
      </c>
      <c r="K115" s="4">
        <v>-39392.269999999997</v>
      </c>
      <c r="L115" s="4">
        <v>-35434.89</v>
      </c>
      <c r="M115" s="4">
        <v>9247.9680000000008</v>
      </c>
      <c r="N115" s="5">
        <v>1</v>
      </c>
      <c r="O115" s="5">
        <v>6.6208</v>
      </c>
      <c r="P115" s="6">
        <v>2.0282</v>
      </c>
      <c r="Q115" s="6">
        <v>9.8799999999999999E-2</v>
      </c>
      <c r="R115" s="7">
        <v>0.54700000000000004</v>
      </c>
      <c r="S115" s="5">
        <v>2.1758000000000002</v>
      </c>
      <c r="T115" s="5">
        <v>-3.8584999999999998</v>
      </c>
      <c r="U115" s="5">
        <v>2.3052000000000001</v>
      </c>
      <c r="V115" s="4">
        <v>139600</v>
      </c>
      <c r="W115" s="5">
        <v>1.4648000000000001</v>
      </c>
      <c r="X115" s="4">
        <f t="shared" si="9"/>
        <v>0</v>
      </c>
      <c r="Y115" s="4">
        <f t="shared" si="10"/>
        <v>42866.133200000004</v>
      </c>
      <c r="Z115">
        <f t="shared" si="11"/>
        <v>0</v>
      </c>
    </row>
    <row r="116" spans="1:26" x14ac:dyDescent="0.3">
      <c r="A116">
        <v>2012</v>
      </c>
      <c r="B116" t="s">
        <v>37</v>
      </c>
      <c r="C116" t="s">
        <v>38</v>
      </c>
      <c r="D116" s="5">
        <v>52.82</v>
      </c>
      <c r="E116" s="3">
        <v>46036.06</v>
      </c>
      <c r="F116" s="4">
        <v>46036.06</v>
      </c>
      <c r="G116" s="4">
        <v>-1650.0889999999999</v>
      </c>
      <c r="H116" s="5">
        <v>-0.53900000000000003</v>
      </c>
      <c r="I116" s="4">
        <v>1</v>
      </c>
      <c r="J116" s="4">
        <v>99793.14</v>
      </c>
      <c r="K116" s="4">
        <v>-21741.23</v>
      </c>
      <c r="L116" s="4">
        <v>-11252.63</v>
      </c>
      <c r="M116" s="4">
        <v>-4504.8540000000003</v>
      </c>
      <c r="N116" s="5">
        <v>1</v>
      </c>
      <c r="O116" s="5">
        <v>7.6879999999999997</v>
      </c>
      <c r="P116" s="6">
        <v>-0.37490000000000001</v>
      </c>
      <c r="Q116" s="6">
        <v>-1.5800000000000002E-2</v>
      </c>
      <c r="R116" s="7">
        <v>-8.2900000000000001E-2</v>
      </c>
      <c r="S116" s="5">
        <v>-4.0909000000000004</v>
      </c>
      <c r="T116" s="5">
        <v>-21.998000000000001</v>
      </c>
      <c r="U116" s="5">
        <v>-0.42880000000000001</v>
      </c>
      <c r="V116" s="4">
        <v>139200</v>
      </c>
      <c r="W116" s="5">
        <v>2.0693000000000001</v>
      </c>
      <c r="X116" s="4">
        <f t="shared" si="9"/>
        <v>0</v>
      </c>
      <c r="Y116" s="4">
        <f t="shared" si="10"/>
        <v>47686.148999999998</v>
      </c>
      <c r="Z116">
        <f t="shared" si="11"/>
        <v>0</v>
      </c>
    </row>
    <row r="117" spans="1:26" x14ac:dyDescent="0.3">
      <c r="A117">
        <v>2011</v>
      </c>
      <c r="B117" t="s">
        <v>37</v>
      </c>
      <c r="C117" t="s">
        <v>38</v>
      </c>
      <c r="D117" s="5">
        <v>33.47</v>
      </c>
      <c r="E117" s="3">
        <v>48866.82</v>
      </c>
      <c r="F117" s="4">
        <v>48866.82</v>
      </c>
      <c r="G117" s="4">
        <v>6338.98</v>
      </c>
      <c r="H117" s="5">
        <v>1.54</v>
      </c>
      <c r="I117" s="4">
        <v>1</v>
      </c>
      <c r="J117" s="4">
        <v>104600.5</v>
      </c>
      <c r="K117" s="4">
        <v>46654.34</v>
      </c>
      <c r="L117" s="4">
        <v>-3067.61</v>
      </c>
      <c r="M117" s="4">
        <v>-9563.82</v>
      </c>
      <c r="N117" s="5">
        <v>1</v>
      </c>
      <c r="O117" s="5">
        <v>7.6044999999999998</v>
      </c>
      <c r="P117" s="6">
        <v>4.6121999999999996</v>
      </c>
      <c r="Q117" s="6">
        <v>0.1923</v>
      </c>
      <c r="R117" s="7">
        <v>1.3680000000000001</v>
      </c>
      <c r="S117" s="5">
        <v>12.235200000000001</v>
      </c>
      <c r="T117" s="5">
        <v>6.1199000000000003</v>
      </c>
      <c r="U117" s="5">
        <v>5.2431999999999999</v>
      </c>
      <c r="V117" s="4">
        <v>141100</v>
      </c>
      <c r="W117" s="5">
        <v>3.1568000000000001</v>
      </c>
      <c r="X117" s="4">
        <f t="shared" si="9"/>
        <v>0</v>
      </c>
      <c r="Y117" s="4">
        <f t="shared" si="10"/>
        <v>42527.839999999997</v>
      </c>
      <c r="Z117">
        <f t="shared" si="11"/>
        <v>0</v>
      </c>
    </row>
    <row r="118" spans="1:26" x14ac:dyDescent="0.3">
      <c r="A118">
        <v>2010</v>
      </c>
      <c r="B118" t="s">
        <v>37</v>
      </c>
      <c r="C118" t="s">
        <v>38</v>
      </c>
      <c r="D118" s="5">
        <v>47.13</v>
      </c>
      <c r="E118" s="3">
        <v>49030.07</v>
      </c>
      <c r="F118" s="4">
        <v>49030.07</v>
      </c>
      <c r="G118" s="4">
        <v>7034.11</v>
      </c>
      <c r="H118" s="5">
        <v>1.84</v>
      </c>
      <c r="I118" s="4">
        <v>1</v>
      </c>
      <c r="J118" s="4">
        <v>96275.73</v>
      </c>
      <c r="K118" s="4">
        <v>28894.16</v>
      </c>
      <c r="L118" s="4">
        <v>-8701.0300000000007</v>
      </c>
      <c r="M118" s="4">
        <v>245.86</v>
      </c>
      <c r="N118" s="5">
        <v>1</v>
      </c>
      <c r="O118" s="5">
        <v>9.3328000000000007</v>
      </c>
      <c r="P118" s="6">
        <v>6.0555000000000003</v>
      </c>
      <c r="Q118" s="6">
        <v>0.25309999999999999</v>
      </c>
      <c r="R118" s="7">
        <v>1.5241</v>
      </c>
      <c r="S118" s="5">
        <v>14.4688</v>
      </c>
      <c r="T118" s="5">
        <v>-12.8733</v>
      </c>
      <c r="U118" s="5">
        <v>7.0387000000000004</v>
      </c>
      <c r="V118" s="4">
        <v>147500</v>
      </c>
      <c r="W118" s="5">
        <v>1.64</v>
      </c>
      <c r="X118" s="4">
        <f t="shared" si="9"/>
        <v>0</v>
      </c>
      <c r="Y118" s="4">
        <f t="shared" si="10"/>
        <v>41995.96</v>
      </c>
      <c r="Z118">
        <f t="shared" si="11"/>
        <v>0</v>
      </c>
    </row>
    <row r="119" spans="1:26" x14ac:dyDescent="0.3">
      <c r="A119">
        <v>2009</v>
      </c>
      <c r="B119" t="s">
        <v>37</v>
      </c>
      <c r="C119" t="s">
        <v>38</v>
      </c>
      <c r="D119" s="5">
        <v>36.840000000000003</v>
      </c>
      <c r="E119" s="3">
        <v>45992.04</v>
      </c>
      <c r="F119" s="4">
        <v>45992.04</v>
      </c>
      <c r="G119" s="4">
        <v>5497.87</v>
      </c>
      <c r="H119" s="5">
        <v>5.12</v>
      </c>
      <c r="I119" s="4">
        <v>1</v>
      </c>
      <c r="J119" s="4">
        <v>91570.7</v>
      </c>
      <c r="K119" s="4">
        <v>65523.51</v>
      </c>
      <c r="L119" s="4">
        <v>18026.64</v>
      </c>
      <c r="M119" s="4">
        <v>-1035.05</v>
      </c>
      <c r="N119" s="5">
        <v>1</v>
      </c>
      <c r="O119" s="5">
        <v>8.5152000000000001</v>
      </c>
      <c r="P119" s="6">
        <v>19.528300000000002</v>
      </c>
      <c r="Q119" s="6">
        <v>0.82820000000000005</v>
      </c>
      <c r="R119" s="7">
        <v>5.1862000000000004</v>
      </c>
      <c r="S119" s="5">
        <v>12.0558</v>
      </c>
      <c r="T119" s="5">
        <v>21.5535</v>
      </c>
      <c r="U119" s="5">
        <v>22.985099999999999</v>
      </c>
      <c r="V119" s="4">
        <v>144200</v>
      </c>
      <c r="W119" s="5">
        <v>-0.35549999999999998</v>
      </c>
      <c r="X119" s="4">
        <f t="shared" si="9"/>
        <v>0</v>
      </c>
      <c r="Y119" s="4">
        <f t="shared" si="10"/>
        <v>40494.17</v>
      </c>
      <c r="Z119">
        <f t="shared" si="11"/>
        <v>0</v>
      </c>
    </row>
    <row r="120" spans="1:26" x14ac:dyDescent="0.3">
      <c r="A120">
        <v>2023</v>
      </c>
      <c r="B120" t="s">
        <v>39</v>
      </c>
      <c r="C120" t="s">
        <v>40</v>
      </c>
      <c r="D120" s="5">
        <v>1000.35</v>
      </c>
      <c r="E120" s="3">
        <v>26974</v>
      </c>
      <c r="F120" s="4">
        <v>15356</v>
      </c>
      <c r="G120" s="4">
        <v>4368</v>
      </c>
      <c r="H120" s="5">
        <v>1.74</v>
      </c>
      <c r="I120" s="4">
        <v>5768</v>
      </c>
      <c r="J120" s="4">
        <v>22101</v>
      </c>
      <c r="K120" s="4">
        <v>5641</v>
      </c>
      <c r="L120" s="4">
        <v>7375</v>
      </c>
      <c r="M120" s="4">
        <v>-11617</v>
      </c>
      <c r="N120" s="5">
        <v>3.5156000000000001</v>
      </c>
      <c r="O120" s="5">
        <v>0.49559999999999998</v>
      </c>
      <c r="P120" s="6">
        <v>19.7638</v>
      </c>
      <c r="Q120" s="6">
        <v>10.6066</v>
      </c>
      <c r="R120" s="7">
        <v>13.7341</v>
      </c>
      <c r="S120" s="5">
        <v>16.1934</v>
      </c>
      <c r="T120" s="5">
        <v>-1.6890000000000001</v>
      </c>
      <c r="U120" s="5">
        <v>27.209900000000001</v>
      </c>
      <c r="V120" s="4">
        <v>26196</v>
      </c>
      <c r="W120" s="5">
        <v>3.7</v>
      </c>
      <c r="X120" s="4">
        <f t="shared" si="9"/>
        <v>11618</v>
      </c>
      <c r="Y120" s="4">
        <f t="shared" si="10"/>
        <v>10988</v>
      </c>
      <c r="Z120">
        <f t="shared" si="11"/>
        <v>0</v>
      </c>
    </row>
    <row r="121" spans="1:26" x14ac:dyDescent="0.3">
      <c r="A121">
        <v>2022</v>
      </c>
      <c r="B121" t="s">
        <v>39</v>
      </c>
      <c r="C121" t="s">
        <v>40</v>
      </c>
      <c r="D121" s="5">
        <v>359.5</v>
      </c>
      <c r="E121" s="3">
        <v>26914</v>
      </c>
      <c r="F121" s="4">
        <v>17475</v>
      </c>
      <c r="G121" s="4">
        <v>9752</v>
      </c>
      <c r="H121" s="5">
        <v>3.85</v>
      </c>
      <c r="I121" s="4">
        <v>11215</v>
      </c>
      <c r="J121" s="4">
        <v>26612</v>
      </c>
      <c r="K121" s="4">
        <v>9108</v>
      </c>
      <c r="L121" s="4">
        <v>-9830</v>
      </c>
      <c r="M121" s="4">
        <v>1865</v>
      </c>
      <c r="N121" s="5">
        <v>6.6502999999999997</v>
      </c>
      <c r="O121" s="5">
        <v>0.4113</v>
      </c>
      <c r="P121" s="6">
        <v>36.645099999999999</v>
      </c>
      <c r="Q121" s="6">
        <v>22.069800000000001</v>
      </c>
      <c r="R121" s="7">
        <v>25.965199999999999</v>
      </c>
      <c r="S121" s="5">
        <v>36.233899999999998</v>
      </c>
      <c r="T121" s="5">
        <v>1.3378000000000001</v>
      </c>
      <c r="U121" s="5">
        <v>48.945999999999998</v>
      </c>
      <c r="V121" s="4">
        <v>22473</v>
      </c>
      <c r="W121" s="5">
        <v>8.0028000000000006</v>
      </c>
      <c r="X121" s="4">
        <f t="shared" si="9"/>
        <v>9439</v>
      </c>
      <c r="Y121" s="4">
        <f t="shared" si="10"/>
        <v>7723</v>
      </c>
      <c r="Z121">
        <f t="shared" si="11"/>
        <v>0</v>
      </c>
    </row>
    <row r="122" spans="1:26" x14ac:dyDescent="0.3">
      <c r="A122">
        <v>2021</v>
      </c>
      <c r="B122" t="s">
        <v>39</v>
      </c>
      <c r="C122" t="s">
        <v>40</v>
      </c>
      <c r="D122" s="5">
        <v>735.86</v>
      </c>
      <c r="E122" s="3">
        <v>16675</v>
      </c>
      <c r="F122" s="4">
        <v>10396</v>
      </c>
      <c r="G122" s="4">
        <v>4332</v>
      </c>
      <c r="H122" s="5">
        <v>1.73</v>
      </c>
      <c r="I122" s="4">
        <v>5630</v>
      </c>
      <c r="J122" s="4">
        <v>16893</v>
      </c>
      <c r="K122" s="4">
        <v>5822</v>
      </c>
      <c r="L122" s="4">
        <v>-19675</v>
      </c>
      <c r="M122" s="4">
        <v>3804</v>
      </c>
      <c r="N122" s="5">
        <v>4.0903999999999998</v>
      </c>
      <c r="O122" s="5">
        <v>0.41220000000000001</v>
      </c>
      <c r="P122" s="6">
        <v>25.643799999999999</v>
      </c>
      <c r="Q122" s="6">
        <v>15.0464</v>
      </c>
      <c r="R122" s="7">
        <v>18.9526</v>
      </c>
      <c r="S122" s="5">
        <v>25.978999999999999</v>
      </c>
      <c r="T122" s="5">
        <v>0.1419</v>
      </c>
      <c r="U122" s="5">
        <v>43.480899999999998</v>
      </c>
      <c r="V122" s="4">
        <v>18975</v>
      </c>
      <c r="W122" s="5">
        <v>4.6978999999999997</v>
      </c>
      <c r="X122" s="4">
        <f t="shared" si="9"/>
        <v>6279</v>
      </c>
      <c r="Y122" s="4">
        <f t="shared" si="10"/>
        <v>6064</v>
      </c>
      <c r="Z122">
        <f t="shared" si="11"/>
        <v>0</v>
      </c>
    </row>
    <row r="123" spans="1:26" x14ac:dyDescent="0.3">
      <c r="A123">
        <v>2020</v>
      </c>
      <c r="B123" t="s">
        <v>39</v>
      </c>
      <c r="C123" t="s">
        <v>40</v>
      </c>
      <c r="D123" s="5">
        <v>323.24</v>
      </c>
      <c r="E123" s="3">
        <v>10918</v>
      </c>
      <c r="F123" s="4">
        <v>6768</v>
      </c>
      <c r="G123" s="4">
        <v>2796</v>
      </c>
      <c r="H123" s="5">
        <v>1.1299999999999999</v>
      </c>
      <c r="I123" s="4">
        <v>3227</v>
      </c>
      <c r="J123" s="4">
        <v>12204</v>
      </c>
      <c r="K123" s="4">
        <v>4761</v>
      </c>
      <c r="L123" s="4">
        <v>6145</v>
      </c>
      <c r="M123" s="4">
        <v>-792</v>
      </c>
      <c r="N123" s="5">
        <v>7.6738</v>
      </c>
      <c r="O123" s="5">
        <v>0.16309999999999999</v>
      </c>
      <c r="P123" s="6">
        <v>22.910499999999999</v>
      </c>
      <c r="Q123" s="6">
        <v>16.1479</v>
      </c>
      <c r="R123" s="7">
        <v>19.697099999999999</v>
      </c>
      <c r="S123" s="5">
        <v>25.609100000000002</v>
      </c>
      <c r="T123" s="5">
        <v>0.47099999999999997</v>
      </c>
      <c r="U123" s="5">
        <v>24.235099999999999</v>
      </c>
      <c r="V123" s="4">
        <v>13775</v>
      </c>
      <c r="W123" s="5">
        <v>1.2336</v>
      </c>
      <c r="X123" s="4">
        <f t="shared" si="9"/>
        <v>4150</v>
      </c>
      <c r="Y123" s="4">
        <f t="shared" si="10"/>
        <v>3972</v>
      </c>
      <c r="Z123">
        <f t="shared" si="11"/>
        <v>0</v>
      </c>
    </row>
    <row r="124" spans="1:26" x14ac:dyDescent="0.3">
      <c r="A124">
        <v>2019</v>
      </c>
      <c r="B124" t="s">
        <v>39</v>
      </c>
      <c r="C124" t="s">
        <v>40</v>
      </c>
      <c r="D124" s="5">
        <v>144</v>
      </c>
      <c r="E124" s="3">
        <v>11716</v>
      </c>
      <c r="F124" s="4">
        <v>7171</v>
      </c>
      <c r="G124" s="4">
        <v>4141</v>
      </c>
      <c r="H124" s="5">
        <v>1.6575</v>
      </c>
      <c r="I124" s="4">
        <v>4066</v>
      </c>
      <c r="J124" s="4">
        <v>9342</v>
      </c>
      <c r="K124" s="4">
        <v>3743</v>
      </c>
      <c r="L124" s="4">
        <v>-4097</v>
      </c>
      <c r="M124" s="4">
        <v>-2866</v>
      </c>
      <c r="N124" s="5">
        <v>7.9436</v>
      </c>
      <c r="O124" s="5">
        <v>0.21279999999999999</v>
      </c>
      <c r="P124" s="6">
        <v>44.326700000000002</v>
      </c>
      <c r="Q124" s="6">
        <v>31.1541</v>
      </c>
      <c r="R124" s="7">
        <v>36.548999999999999</v>
      </c>
      <c r="S124" s="5">
        <v>35.344799999999999</v>
      </c>
      <c r="T124" s="5">
        <v>0.1057</v>
      </c>
      <c r="U124" s="5">
        <v>47.712899999999998</v>
      </c>
      <c r="V124" s="4">
        <v>13277</v>
      </c>
      <c r="W124" s="5">
        <v>1.8122</v>
      </c>
      <c r="X124" s="4">
        <f t="shared" si="9"/>
        <v>4545</v>
      </c>
      <c r="Y124" s="4">
        <f t="shared" si="10"/>
        <v>3030</v>
      </c>
      <c r="Z124">
        <f t="shared" si="11"/>
        <v>0</v>
      </c>
    </row>
    <row r="125" spans="1:26" x14ac:dyDescent="0.3">
      <c r="A125">
        <v>2018</v>
      </c>
      <c r="B125" t="s">
        <v>39</v>
      </c>
      <c r="C125" t="s">
        <v>40</v>
      </c>
      <c r="D125" s="5">
        <v>81.44</v>
      </c>
      <c r="E125" s="3">
        <v>9714</v>
      </c>
      <c r="F125" s="4">
        <v>5822</v>
      </c>
      <c r="G125" s="4">
        <v>3047</v>
      </c>
      <c r="H125" s="5">
        <v>1.2050000000000001</v>
      </c>
      <c r="I125" s="4">
        <v>3409</v>
      </c>
      <c r="J125" s="4">
        <v>7471</v>
      </c>
      <c r="K125" s="4">
        <v>3502</v>
      </c>
      <c r="L125" s="4">
        <v>1278</v>
      </c>
      <c r="M125" s="4">
        <v>-2544</v>
      </c>
      <c r="N125" s="5">
        <v>8.0268999999999995</v>
      </c>
      <c r="O125" s="5">
        <v>0.26769999999999999</v>
      </c>
      <c r="P125" s="6">
        <v>40.784399999999998</v>
      </c>
      <c r="Q125" s="6">
        <v>27.106100000000001</v>
      </c>
      <c r="R125" s="7">
        <v>32.222900000000003</v>
      </c>
      <c r="S125" s="5">
        <v>31.367100000000001</v>
      </c>
      <c r="T125" s="5">
        <v>0.57250000000000001</v>
      </c>
      <c r="U125" s="5">
        <v>44.802199999999999</v>
      </c>
      <c r="V125" s="4">
        <v>11528</v>
      </c>
      <c r="W125" s="5">
        <v>2.4426000000000001</v>
      </c>
      <c r="X125" s="4">
        <f t="shared" si="9"/>
        <v>3892</v>
      </c>
      <c r="Y125" s="4">
        <f t="shared" si="10"/>
        <v>2775</v>
      </c>
      <c r="Z125">
        <f t="shared" si="11"/>
        <v>0</v>
      </c>
    </row>
    <row r="126" spans="1:26" x14ac:dyDescent="0.3">
      <c r="A126">
        <v>2017</v>
      </c>
      <c r="B126" t="s">
        <v>39</v>
      </c>
      <c r="C126" t="s">
        <v>40</v>
      </c>
      <c r="D126" s="5">
        <v>117.26</v>
      </c>
      <c r="E126" s="3">
        <v>6910</v>
      </c>
      <c r="F126" s="4">
        <v>4063</v>
      </c>
      <c r="G126" s="4">
        <v>1666</v>
      </c>
      <c r="H126" s="5">
        <v>0.64249999999999996</v>
      </c>
      <c r="I126" s="4">
        <v>2121</v>
      </c>
      <c r="J126" s="4">
        <v>5762</v>
      </c>
      <c r="K126" s="4">
        <v>1672</v>
      </c>
      <c r="L126" s="4">
        <v>-793</v>
      </c>
      <c r="M126" s="4">
        <v>291</v>
      </c>
      <c r="N126" s="5">
        <v>4.774</v>
      </c>
      <c r="O126" s="5">
        <v>0.48770000000000002</v>
      </c>
      <c r="P126" s="6">
        <v>28.913599999999999</v>
      </c>
      <c r="Q126" s="6">
        <v>16.929200000000002</v>
      </c>
      <c r="R126" s="7">
        <v>21.424900000000001</v>
      </c>
      <c r="S126" s="5">
        <v>24.11</v>
      </c>
      <c r="T126" s="5">
        <v>9.7500000000000003E-2</v>
      </c>
      <c r="U126" s="5">
        <v>33.055599999999998</v>
      </c>
      <c r="V126" s="4">
        <v>10299</v>
      </c>
      <c r="W126" s="5">
        <v>2.1301000000000001</v>
      </c>
      <c r="X126" s="4">
        <f t="shared" si="9"/>
        <v>2847</v>
      </c>
      <c r="Y126" s="4">
        <f t="shared" si="10"/>
        <v>2397</v>
      </c>
      <c r="Z126">
        <f t="shared" si="11"/>
        <v>0</v>
      </c>
    </row>
    <row r="127" spans="1:26" x14ac:dyDescent="0.3">
      <c r="A127">
        <v>2016</v>
      </c>
      <c r="B127" t="s">
        <v>39</v>
      </c>
      <c r="C127" t="s">
        <v>40</v>
      </c>
      <c r="D127" s="5">
        <v>57.53</v>
      </c>
      <c r="E127" s="3">
        <v>5010</v>
      </c>
      <c r="F127" s="4">
        <v>2811</v>
      </c>
      <c r="G127" s="4">
        <v>614</v>
      </c>
      <c r="H127" s="5">
        <v>0.27</v>
      </c>
      <c r="I127" s="4">
        <v>973</v>
      </c>
      <c r="J127" s="4">
        <v>4469</v>
      </c>
      <c r="K127" s="4">
        <v>1175</v>
      </c>
      <c r="L127" s="4">
        <v>-400</v>
      </c>
      <c r="M127" s="4">
        <v>-676</v>
      </c>
      <c r="N127" s="5">
        <v>2.5746000000000002</v>
      </c>
      <c r="O127" s="5">
        <v>0.33789999999999998</v>
      </c>
      <c r="P127" s="6">
        <v>13.739100000000001</v>
      </c>
      <c r="Q127" s="6">
        <v>8.3310999999999993</v>
      </c>
      <c r="R127" s="7">
        <v>13.4472</v>
      </c>
      <c r="S127" s="5">
        <v>12.2555</v>
      </c>
      <c r="T127" s="5">
        <v>0.124</v>
      </c>
      <c r="U127" s="5">
        <v>16.662099999999999</v>
      </c>
      <c r="V127" s="4">
        <v>9227</v>
      </c>
      <c r="W127" s="5">
        <v>1.2616000000000001</v>
      </c>
      <c r="X127" s="4">
        <f t="shared" si="9"/>
        <v>2199</v>
      </c>
      <c r="Y127" s="4">
        <f t="shared" si="10"/>
        <v>2197</v>
      </c>
      <c r="Z127">
        <f t="shared" si="11"/>
        <v>0</v>
      </c>
    </row>
    <row r="128" spans="1:26" x14ac:dyDescent="0.3">
      <c r="A128">
        <v>2015</v>
      </c>
      <c r="B128" t="s">
        <v>39</v>
      </c>
      <c r="C128" t="s">
        <v>40</v>
      </c>
      <c r="D128" s="5">
        <v>17.73</v>
      </c>
      <c r="E128" s="3">
        <v>4682</v>
      </c>
      <c r="F128" s="4">
        <v>2599</v>
      </c>
      <c r="G128" s="4">
        <v>631</v>
      </c>
      <c r="H128" s="5">
        <v>0.28000000000000003</v>
      </c>
      <c r="I128" s="4">
        <v>1007</v>
      </c>
      <c r="J128" s="4">
        <v>4418</v>
      </c>
      <c r="K128" s="4">
        <v>906</v>
      </c>
      <c r="L128" s="4">
        <v>-727</v>
      </c>
      <c r="M128" s="4">
        <v>-834</v>
      </c>
      <c r="N128" s="5">
        <v>6.3761000000000001</v>
      </c>
      <c r="O128" s="5">
        <v>0.31640000000000001</v>
      </c>
      <c r="P128" s="6">
        <v>14.282500000000001</v>
      </c>
      <c r="Q128" s="6">
        <v>8.7627000000000006</v>
      </c>
      <c r="R128" s="7">
        <v>10.849399999999999</v>
      </c>
      <c r="S128" s="5">
        <v>13.4772</v>
      </c>
      <c r="T128" s="5">
        <v>0.1033</v>
      </c>
      <c r="U128" s="5">
        <v>17.6356</v>
      </c>
      <c r="V128" s="4">
        <v>9228</v>
      </c>
      <c r="W128" s="5">
        <v>0.1186</v>
      </c>
      <c r="X128" s="4">
        <f t="shared" si="9"/>
        <v>2083</v>
      </c>
      <c r="Y128" s="4">
        <f t="shared" si="10"/>
        <v>1968</v>
      </c>
      <c r="Z128">
        <f t="shared" si="11"/>
        <v>0</v>
      </c>
    </row>
    <row r="129" spans="1:26" x14ac:dyDescent="0.3">
      <c r="A129">
        <v>2014</v>
      </c>
      <c r="B129" t="s">
        <v>39</v>
      </c>
      <c r="C129" t="s">
        <v>40</v>
      </c>
      <c r="D129" s="5">
        <v>10.9</v>
      </c>
      <c r="E129" s="3">
        <v>4130</v>
      </c>
      <c r="F129" s="4">
        <v>2268</v>
      </c>
      <c r="G129" s="4">
        <v>440</v>
      </c>
      <c r="H129" s="5">
        <v>0.185</v>
      </c>
      <c r="I129" s="4">
        <v>740</v>
      </c>
      <c r="J129" s="4">
        <v>4456.3980000000001</v>
      </c>
      <c r="K129" s="4">
        <v>835</v>
      </c>
      <c r="L129" s="4">
        <v>-806</v>
      </c>
      <c r="M129" s="4">
        <v>390</v>
      </c>
      <c r="N129" s="5">
        <v>5.9489999999999998</v>
      </c>
      <c r="O129" s="5">
        <v>0.30830000000000002</v>
      </c>
      <c r="P129" s="6">
        <v>9.8734000000000002</v>
      </c>
      <c r="Q129" s="6">
        <v>6.0682</v>
      </c>
      <c r="R129" s="7">
        <v>7.5468000000000002</v>
      </c>
      <c r="S129" s="5">
        <v>10.6538</v>
      </c>
      <c r="T129" s="5">
        <v>-2.2000000000000001E-3</v>
      </c>
      <c r="U129" s="5">
        <v>12.5099</v>
      </c>
      <c r="V129" s="4">
        <v>8808</v>
      </c>
      <c r="W129" s="5">
        <v>1.6222000000000001</v>
      </c>
      <c r="X129" s="4">
        <f t="shared" si="9"/>
        <v>1862</v>
      </c>
      <c r="Y129" s="4">
        <f t="shared" si="10"/>
        <v>1828</v>
      </c>
      <c r="Z129">
        <f t="shared" si="11"/>
        <v>0</v>
      </c>
    </row>
    <row r="130" spans="1:26" x14ac:dyDescent="0.3">
      <c r="A130">
        <v>2013</v>
      </c>
      <c r="B130" t="s">
        <v>39</v>
      </c>
      <c r="C130" t="s">
        <v>40</v>
      </c>
      <c r="D130" s="5">
        <v>9.11</v>
      </c>
      <c r="E130" s="3">
        <v>4280.1589999999997</v>
      </c>
      <c r="F130" s="4">
        <v>2226.3429999999998</v>
      </c>
      <c r="G130" s="4">
        <v>562.53599999999994</v>
      </c>
      <c r="H130" s="5">
        <v>0.22500000000000001</v>
      </c>
      <c r="I130" s="4">
        <v>874.4742</v>
      </c>
      <c r="J130" s="4">
        <v>4827.7030000000004</v>
      </c>
      <c r="K130" s="4">
        <v>824.17200000000003</v>
      </c>
      <c r="L130" s="4">
        <v>-743.99199999999996</v>
      </c>
      <c r="M130" s="4">
        <v>-15.27</v>
      </c>
      <c r="N130" s="5">
        <v>4.8916000000000004</v>
      </c>
      <c r="O130" s="5">
        <v>3.8999999999999998E-3</v>
      </c>
      <c r="P130" s="6">
        <v>11.6523</v>
      </c>
      <c r="Q130" s="6">
        <v>8.7728000000000002</v>
      </c>
      <c r="R130" s="7">
        <v>11.6066</v>
      </c>
      <c r="S130" s="5">
        <v>13.142899999999999</v>
      </c>
      <c r="T130" s="5">
        <v>-5.6099999999999997E-2</v>
      </c>
      <c r="U130" s="5">
        <v>14.519500000000001</v>
      </c>
      <c r="V130" s="4">
        <v>7974</v>
      </c>
      <c r="W130" s="5">
        <v>1.4648000000000001</v>
      </c>
      <c r="X130" s="4">
        <f t="shared" ref="X130:X162" si="12">E130-F130</f>
        <v>2053.8159999999998</v>
      </c>
      <c r="Y130" s="4">
        <f t="shared" ref="Y130:Y162" si="13">F130-G130</f>
        <v>1663.8069999999998</v>
      </c>
      <c r="Z130">
        <f t="shared" ref="Z130:Z161" si="14">COUNTBLANK(A130:Y130)</f>
        <v>0</v>
      </c>
    </row>
    <row r="131" spans="1:26" x14ac:dyDescent="0.3">
      <c r="A131">
        <v>2012</v>
      </c>
      <c r="B131" t="s">
        <v>39</v>
      </c>
      <c r="C131" t="s">
        <v>40</v>
      </c>
      <c r="D131" s="5">
        <v>7.66</v>
      </c>
      <c r="E131" s="3">
        <v>3997.93</v>
      </c>
      <c r="F131" s="4">
        <v>2056.5169999999998</v>
      </c>
      <c r="G131" s="4">
        <v>581.09</v>
      </c>
      <c r="H131" s="5">
        <v>0.23499999999999999</v>
      </c>
      <c r="I131" s="4">
        <v>852.50379999999996</v>
      </c>
      <c r="J131" s="4">
        <v>4145.7240000000002</v>
      </c>
      <c r="K131" s="4">
        <v>909.15599999999995</v>
      </c>
      <c r="L131" s="4">
        <v>-1143.364</v>
      </c>
      <c r="M131" s="4">
        <v>236.72300000000001</v>
      </c>
      <c r="N131" s="5">
        <v>4.1994999999999996</v>
      </c>
      <c r="O131" s="5">
        <v>5.1999999999999998E-3</v>
      </c>
      <c r="P131" s="6">
        <v>14.0166</v>
      </c>
      <c r="Q131" s="6">
        <v>10.464600000000001</v>
      </c>
      <c r="R131" s="7">
        <v>13.9445</v>
      </c>
      <c r="S131" s="5">
        <v>14.534800000000001</v>
      </c>
      <c r="T131" s="5">
        <v>6.7100000000000007E-2</v>
      </c>
      <c r="U131" s="5">
        <v>18.281600000000001</v>
      </c>
      <c r="V131" s="4">
        <v>7133</v>
      </c>
      <c r="W131" s="5">
        <v>2.0693000000000001</v>
      </c>
      <c r="X131" s="4">
        <f t="shared" si="12"/>
        <v>1941.413</v>
      </c>
      <c r="Y131" s="4">
        <f t="shared" si="13"/>
        <v>1475.4269999999997</v>
      </c>
      <c r="Z131">
        <f t="shared" si="14"/>
        <v>0</v>
      </c>
    </row>
    <row r="132" spans="1:26" x14ac:dyDescent="0.3">
      <c r="A132">
        <v>2011</v>
      </c>
      <c r="B132" t="s">
        <v>39</v>
      </c>
      <c r="C132" t="s">
        <v>40</v>
      </c>
      <c r="D132" s="5">
        <v>8.4600000000000009</v>
      </c>
      <c r="E132" s="3">
        <v>3543.3090000000002</v>
      </c>
      <c r="F132" s="4">
        <v>1409.09</v>
      </c>
      <c r="G132" s="4">
        <v>253.14599999999999</v>
      </c>
      <c r="H132" s="5">
        <v>0.1075</v>
      </c>
      <c r="I132" s="4">
        <v>442.73610000000002</v>
      </c>
      <c r="J132" s="4">
        <v>3181.462</v>
      </c>
      <c r="K132" s="4">
        <v>675.79700000000003</v>
      </c>
      <c r="L132" s="4">
        <v>-649.678</v>
      </c>
      <c r="M132" s="4">
        <v>192.02099999999999</v>
      </c>
      <c r="N132" s="5">
        <v>3.4232</v>
      </c>
      <c r="O132" s="5">
        <v>7.4000000000000003E-3</v>
      </c>
      <c r="P132" s="6">
        <v>7.9569000000000001</v>
      </c>
      <c r="Q132" s="6">
        <v>5.6314000000000002</v>
      </c>
      <c r="R132" s="7">
        <v>7.8987999999999996</v>
      </c>
      <c r="S132" s="5">
        <v>7.1443000000000003</v>
      </c>
      <c r="T132" s="5">
        <v>5.8799999999999998E-2</v>
      </c>
      <c r="U132" s="5">
        <v>10.034000000000001</v>
      </c>
      <c r="V132" s="4">
        <v>6029</v>
      </c>
      <c r="W132" s="5">
        <v>3.1568000000000001</v>
      </c>
      <c r="X132" s="4">
        <f t="shared" si="12"/>
        <v>2134.2190000000001</v>
      </c>
      <c r="Y132" s="4">
        <f t="shared" si="13"/>
        <v>1155.944</v>
      </c>
      <c r="Z132">
        <f t="shared" si="14"/>
        <v>0</v>
      </c>
    </row>
    <row r="133" spans="1:26" x14ac:dyDescent="0.3">
      <c r="A133">
        <v>2010</v>
      </c>
      <c r="B133" t="s">
        <v>39</v>
      </c>
      <c r="C133" t="s">
        <v>40</v>
      </c>
      <c r="D133" s="5">
        <v>8.9499999999999993</v>
      </c>
      <c r="E133" s="3">
        <v>3326.4450000000002</v>
      </c>
      <c r="F133" s="4">
        <v>1176.923</v>
      </c>
      <c r="G133" s="4">
        <v>-67.986999999999995</v>
      </c>
      <c r="H133" s="5">
        <v>-0.03</v>
      </c>
      <c r="I133" s="4">
        <v>97.718900000000005</v>
      </c>
      <c r="J133" s="4">
        <v>2665.14</v>
      </c>
      <c r="K133" s="4">
        <v>487.80700000000002</v>
      </c>
      <c r="L133" s="4">
        <v>-519.33299999999997</v>
      </c>
      <c r="M133" s="4">
        <v>61.058999999999997</v>
      </c>
      <c r="N133" s="5">
        <v>3.1627999999999998</v>
      </c>
      <c r="O133" s="5">
        <v>9.1999999999999998E-3</v>
      </c>
      <c r="P133" s="6">
        <v>-2.5510000000000002</v>
      </c>
      <c r="Q133" s="6">
        <v>-1.8958999999999999</v>
      </c>
      <c r="R133" s="7">
        <v>-2.5278</v>
      </c>
      <c r="S133" s="5">
        <v>-2.0438000000000001</v>
      </c>
      <c r="T133" s="5">
        <v>0.25879999999999997</v>
      </c>
      <c r="U133" s="5">
        <v>-3.1261000000000001</v>
      </c>
      <c r="V133" s="4">
        <v>5706</v>
      </c>
      <c r="W133" s="5">
        <v>1.64</v>
      </c>
      <c r="X133" s="4">
        <f t="shared" si="12"/>
        <v>2149.5219999999999</v>
      </c>
      <c r="Y133" s="4">
        <f t="shared" si="13"/>
        <v>1244.9100000000001</v>
      </c>
      <c r="Z133">
        <f t="shared" si="14"/>
        <v>0</v>
      </c>
    </row>
    <row r="134" spans="1:26" x14ac:dyDescent="0.3">
      <c r="A134">
        <v>2009</v>
      </c>
      <c r="B134" t="s">
        <v>39</v>
      </c>
      <c r="C134" t="s">
        <v>40</v>
      </c>
      <c r="D134" s="5">
        <v>10.37</v>
      </c>
      <c r="E134" s="3">
        <v>3424.8589999999999</v>
      </c>
      <c r="F134" s="4">
        <v>1174.269</v>
      </c>
      <c r="G134" s="4">
        <v>-30.041</v>
      </c>
      <c r="H134" s="5">
        <v>-1.2500000000000001E-2</v>
      </c>
      <c r="I134" s="4">
        <v>114.3228</v>
      </c>
      <c r="J134" s="4">
        <v>2394.652</v>
      </c>
      <c r="K134" s="4">
        <v>249.36</v>
      </c>
      <c r="L134" s="4">
        <v>-209.36699999999999</v>
      </c>
      <c r="M134" s="4">
        <v>-349.274</v>
      </c>
      <c r="N134" s="5">
        <v>2.7845</v>
      </c>
      <c r="O134" s="5">
        <v>1.0699999999999999E-2</v>
      </c>
      <c r="P134" s="6">
        <v>-1.2544999999999999</v>
      </c>
      <c r="Q134" s="6">
        <v>-0.89659999999999995</v>
      </c>
      <c r="R134" s="7">
        <v>-1.2412000000000001</v>
      </c>
      <c r="S134" s="5">
        <v>-0.87709999999999999</v>
      </c>
      <c r="T134" s="5">
        <v>-7.22E-2</v>
      </c>
      <c r="U134" s="5">
        <v>-1.5999000000000001</v>
      </c>
      <c r="V134" s="4">
        <v>5420</v>
      </c>
      <c r="W134" s="5">
        <v>-0.35549999999999998</v>
      </c>
      <c r="X134" s="4">
        <f t="shared" si="12"/>
        <v>2250.59</v>
      </c>
      <c r="Y134" s="4">
        <f t="shared" si="13"/>
        <v>1204.31</v>
      </c>
      <c r="Z134">
        <f t="shared" si="14"/>
        <v>0</v>
      </c>
    </row>
    <row r="135" spans="1:26" x14ac:dyDescent="0.3">
      <c r="A135">
        <v>2022</v>
      </c>
      <c r="B135" t="s">
        <v>41</v>
      </c>
      <c r="C135" t="s">
        <v>40</v>
      </c>
      <c r="D135" s="5">
        <v>109.08</v>
      </c>
      <c r="E135" s="3">
        <v>63054</v>
      </c>
      <c r="F135" s="4">
        <v>26866</v>
      </c>
      <c r="G135" s="4">
        <v>8014</v>
      </c>
      <c r="H135" s="5">
        <v>1.94</v>
      </c>
      <c r="I135" s="4">
        <v>15369</v>
      </c>
      <c r="J135" s="4">
        <v>103286</v>
      </c>
      <c r="K135" s="4">
        <v>15433</v>
      </c>
      <c r="L135" s="4">
        <v>-10477</v>
      </c>
      <c r="M135" s="4">
        <v>1361</v>
      </c>
      <c r="N135" s="5">
        <v>1.5676000000000001</v>
      </c>
      <c r="O135" s="5">
        <v>0.40710000000000002</v>
      </c>
      <c r="P135" s="6">
        <v>7.7618999999999998</v>
      </c>
      <c r="Q135" s="6">
        <v>4.4024999999999999</v>
      </c>
      <c r="R135" s="7">
        <v>5.6870000000000003</v>
      </c>
      <c r="S135" s="5">
        <v>12.7097</v>
      </c>
      <c r="T135" s="5">
        <v>-4.5640000000000001</v>
      </c>
      <c r="U135" s="5">
        <v>11.506</v>
      </c>
      <c r="V135" s="4">
        <v>131900</v>
      </c>
      <c r="W135" s="5">
        <v>8.0028000000000006</v>
      </c>
      <c r="X135" s="4">
        <f t="shared" si="12"/>
        <v>36188</v>
      </c>
      <c r="Y135" s="4">
        <f t="shared" si="13"/>
        <v>18852</v>
      </c>
      <c r="Z135">
        <f t="shared" si="14"/>
        <v>0</v>
      </c>
    </row>
    <row r="136" spans="1:26" x14ac:dyDescent="0.3">
      <c r="A136">
        <v>2021</v>
      </c>
      <c r="B136" t="s">
        <v>41</v>
      </c>
      <c r="C136" t="s">
        <v>40</v>
      </c>
      <c r="D136" s="5">
        <v>209.45</v>
      </c>
      <c r="E136" s="3">
        <v>79024</v>
      </c>
      <c r="F136" s="4">
        <v>43815</v>
      </c>
      <c r="G136" s="4">
        <v>19868</v>
      </c>
      <c r="H136" s="5">
        <v>4.8600000000000003</v>
      </c>
      <c r="I136" s="4">
        <v>31248</v>
      </c>
      <c r="J136" s="4">
        <v>95391</v>
      </c>
      <c r="K136" s="4">
        <v>29456</v>
      </c>
      <c r="L136" s="4">
        <v>-24449</v>
      </c>
      <c r="M136" s="4">
        <v>-6045</v>
      </c>
      <c r="N136" s="5">
        <v>2.1322999999999999</v>
      </c>
      <c r="O136" s="5">
        <v>0.39939999999999998</v>
      </c>
      <c r="P136" s="6">
        <v>20.827999999999999</v>
      </c>
      <c r="Q136" s="6">
        <v>11.797700000000001</v>
      </c>
      <c r="R136" s="7">
        <v>15.413399999999999</v>
      </c>
      <c r="S136" s="5">
        <v>25.1417</v>
      </c>
      <c r="T136" s="5">
        <v>-2.8277999999999999</v>
      </c>
      <c r="U136" s="5">
        <v>32.486400000000003</v>
      </c>
      <c r="V136" s="4">
        <v>121100</v>
      </c>
      <c r="W136" s="5">
        <v>4.6978999999999997</v>
      </c>
      <c r="X136" s="4">
        <f t="shared" si="12"/>
        <v>35209</v>
      </c>
      <c r="Y136" s="4">
        <f t="shared" si="13"/>
        <v>23947</v>
      </c>
      <c r="Z136">
        <f t="shared" si="14"/>
        <v>0</v>
      </c>
    </row>
    <row r="137" spans="1:26" x14ac:dyDescent="0.3">
      <c r="A137">
        <v>2020</v>
      </c>
      <c r="B137" t="s">
        <v>41</v>
      </c>
      <c r="C137" t="s">
        <v>40</v>
      </c>
      <c r="D137" s="5">
        <v>104.16</v>
      </c>
      <c r="E137" s="3">
        <v>77867</v>
      </c>
      <c r="F137" s="4">
        <v>43612</v>
      </c>
      <c r="G137" s="4">
        <v>20899</v>
      </c>
      <c r="H137" s="5">
        <v>4.9400000000000004</v>
      </c>
      <c r="I137" s="4">
        <v>35917</v>
      </c>
      <c r="J137" s="4">
        <v>81038</v>
      </c>
      <c r="K137" s="4">
        <v>35864</v>
      </c>
      <c r="L137" s="4">
        <v>-21524</v>
      </c>
      <c r="M137" s="4">
        <v>-12669</v>
      </c>
      <c r="N137" s="5">
        <v>1.9087000000000001</v>
      </c>
      <c r="O137" s="5">
        <v>0.44919999999999999</v>
      </c>
      <c r="P137" s="6">
        <v>25.789100000000001</v>
      </c>
      <c r="Q137" s="6">
        <v>13.651400000000001</v>
      </c>
      <c r="R137" s="7">
        <v>18.183299999999999</v>
      </c>
      <c r="S137" s="5">
        <v>26.839400000000001</v>
      </c>
      <c r="T137" s="5">
        <v>1.2739</v>
      </c>
      <c r="U137" s="5">
        <v>46.4</v>
      </c>
      <c r="V137" s="4">
        <v>110600</v>
      </c>
      <c r="W137" s="5">
        <v>1.2336</v>
      </c>
      <c r="X137" s="4">
        <f t="shared" si="12"/>
        <v>34255</v>
      </c>
      <c r="Y137" s="4">
        <f t="shared" si="13"/>
        <v>22713</v>
      </c>
      <c r="Z137">
        <f t="shared" si="14"/>
        <v>0</v>
      </c>
    </row>
    <row r="138" spans="1:26" x14ac:dyDescent="0.3">
      <c r="A138">
        <v>2019</v>
      </c>
      <c r="B138" t="s">
        <v>41</v>
      </c>
      <c r="C138" t="s">
        <v>40</v>
      </c>
      <c r="D138" s="5">
        <v>260.35000000000002</v>
      </c>
      <c r="E138" s="3">
        <v>71965</v>
      </c>
      <c r="F138" s="4">
        <v>42140</v>
      </c>
      <c r="G138" s="4">
        <v>21048</v>
      </c>
      <c r="H138" s="5">
        <v>4.71</v>
      </c>
      <c r="I138" s="4">
        <v>32861</v>
      </c>
      <c r="J138" s="4">
        <v>77504</v>
      </c>
      <c r="K138" s="4">
        <v>33145</v>
      </c>
      <c r="L138" s="4">
        <v>-14405</v>
      </c>
      <c r="M138" s="4">
        <v>-17565</v>
      </c>
      <c r="N138" s="5">
        <v>1.4001999999999999</v>
      </c>
      <c r="O138" s="5">
        <v>0.37419999999999998</v>
      </c>
      <c r="P138" s="6">
        <v>27.157299999999999</v>
      </c>
      <c r="Q138" s="6">
        <v>15.4171</v>
      </c>
      <c r="R138" s="7">
        <v>20.472300000000001</v>
      </c>
      <c r="S138" s="5">
        <v>29.247599999999998</v>
      </c>
      <c r="T138" s="5">
        <v>0.75390000000000001</v>
      </c>
      <c r="U138" s="5">
        <v>52.097700000000003</v>
      </c>
      <c r="V138" s="4">
        <v>110800</v>
      </c>
      <c r="W138" s="5">
        <v>1.8122</v>
      </c>
      <c r="X138" s="4">
        <f t="shared" si="12"/>
        <v>29825</v>
      </c>
      <c r="Y138" s="4">
        <f t="shared" si="13"/>
        <v>21092</v>
      </c>
      <c r="Z138">
        <f t="shared" si="14"/>
        <v>0</v>
      </c>
    </row>
    <row r="139" spans="1:26" x14ac:dyDescent="0.3">
      <c r="A139">
        <v>2018</v>
      </c>
      <c r="B139" t="s">
        <v>41</v>
      </c>
      <c r="C139" t="s">
        <v>40</v>
      </c>
      <c r="D139" s="5">
        <v>214.19</v>
      </c>
      <c r="E139" s="3">
        <v>70848</v>
      </c>
      <c r="F139" s="4">
        <v>43737</v>
      </c>
      <c r="G139" s="4">
        <v>21053</v>
      </c>
      <c r="H139" s="5">
        <v>4.4800000000000004</v>
      </c>
      <c r="I139" s="4">
        <v>32401</v>
      </c>
      <c r="J139" s="4">
        <v>74563</v>
      </c>
      <c r="K139" s="4">
        <v>29432</v>
      </c>
      <c r="L139" s="4">
        <v>-11239</v>
      </c>
      <c r="M139" s="4">
        <v>-18607</v>
      </c>
      <c r="N139" s="5">
        <v>1.7314000000000001</v>
      </c>
      <c r="O139" s="5">
        <v>0.35349999999999998</v>
      </c>
      <c r="P139" s="6">
        <v>28.235199999999999</v>
      </c>
      <c r="Q139" s="6">
        <v>16.452400000000001</v>
      </c>
      <c r="R139" s="7">
        <v>21.124600000000001</v>
      </c>
      <c r="S139" s="5">
        <v>29.715699999999998</v>
      </c>
      <c r="T139" s="5">
        <v>0.89459999999999995</v>
      </c>
      <c r="U139" s="5">
        <v>55.092399999999998</v>
      </c>
      <c r="V139" s="4">
        <v>107400</v>
      </c>
      <c r="W139" s="5">
        <v>2.4426000000000001</v>
      </c>
      <c r="X139" s="4">
        <f t="shared" si="12"/>
        <v>27111</v>
      </c>
      <c r="Y139" s="4">
        <f t="shared" si="13"/>
        <v>22684</v>
      </c>
      <c r="Z139">
        <f t="shared" si="14"/>
        <v>0</v>
      </c>
    </row>
    <row r="140" spans="1:26" x14ac:dyDescent="0.3">
      <c r="A140">
        <v>2017</v>
      </c>
      <c r="B140" t="s">
        <v>41</v>
      </c>
      <c r="C140" t="s">
        <v>40</v>
      </c>
      <c r="D140" s="5">
        <v>216.03</v>
      </c>
      <c r="E140" s="3">
        <v>62761</v>
      </c>
      <c r="F140" s="4">
        <v>39098</v>
      </c>
      <c r="G140" s="4">
        <v>9601</v>
      </c>
      <c r="H140" s="5">
        <v>1.99</v>
      </c>
      <c r="I140" s="4">
        <v>26179</v>
      </c>
      <c r="J140" s="4">
        <v>69019</v>
      </c>
      <c r="K140" s="4">
        <v>22110</v>
      </c>
      <c r="L140" s="4">
        <v>-15762</v>
      </c>
      <c r="M140" s="4">
        <v>-8475</v>
      </c>
      <c r="N140" s="5">
        <v>1.6934</v>
      </c>
      <c r="O140" s="5">
        <v>0.38850000000000001</v>
      </c>
      <c r="P140" s="6">
        <v>13.9107</v>
      </c>
      <c r="Q140" s="6">
        <v>7.7899000000000003</v>
      </c>
      <c r="R140" s="7">
        <v>10.207800000000001</v>
      </c>
      <c r="S140" s="5">
        <v>15.297700000000001</v>
      </c>
      <c r="T140" s="5">
        <v>-0.36220000000000002</v>
      </c>
      <c r="U140" s="5">
        <v>30.1113</v>
      </c>
      <c r="V140" s="4">
        <v>102700</v>
      </c>
      <c r="W140" s="5">
        <v>2.1301000000000001</v>
      </c>
      <c r="X140" s="4">
        <f t="shared" si="12"/>
        <v>23663</v>
      </c>
      <c r="Y140" s="4">
        <f t="shared" si="13"/>
        <v>29497</v>
      </c>
      <c r="Z140">
        <f t="shared" si="14"/>
        <v>0</v>
      </c>
    </row>
    <row r="141" spans="1:26" x14ac:dyDescent="0.3">
      <c r="A141">
        <v>2016</v>
      </c>
      <c r="B141" t="s">
        <v>41</v>
      </c>
      <c r="C141" t="s">
        <v>40</v>
      </c>
      <c r="D141" s="5">
        <v>171.88</v>
      </c>
      <c r="E141" s="3">
        <v>59387</v>
      </c>
      <c r="F141" s="4">
        <v>36233</v>
      </c>
      <c r="G141" s="4">
        <v>10316</v>
      </c>
      <c r="H141" s="5">
        <v>2.12</v>
      </c>
      <c r="I141" s="4">
        <v>20923</v>
      </c>
      <c r="J141" s="4">
        <v>66226</v>
      </c>
      <c r="K141" s="4">
        <v>21808</v>
      </c>
      <c r="L141" s="4">
        <v>-25817</v>
      </c>
      <c r="M141" s="4">
        <v>-5739</v>
      </c>
      <c r="N141" s="5">
        <v>1.7490000000000001</v>
      </c>
      <c r="O141" s="5">
        <v>0.38179999999999997</v>
      </c>
      <c r="P141" s="6">
        <v>15.577</v>
      </c>
      <c r="Q141" s="6">
        <v>9.1029</v>
      </c>
      <c r="R141" s="7">
        <v>11.874499999999999</v>
      </c>
      <c r="S141" s="5">
        <v>17.370799999999999</v>
      </c>
      <c r="T141" s="5">
        <v>0.1101</v>
      </c>
      <c r="U141" s="5">
        <v>24.197199999999999</v>
      </c>
      <c r="V141" s="4">
        <v>106000</v>
      </c>
      <c r="W141" s="5">
        <v>1.2616000000000001</v>
      </c>
      <c r="X141" s="4">
        <f t="shared" si="12"/>
        <v>23154</v>
      </c>
      <c r="Y141" s="4">
        <f t="shared" si="13"/>
        <v>25917</v>
      </c>
      <c r="Z141">
        <f t="shared" si="14"/>
        <v>0</v>
      </c>
    </row>
    <row r="142" spans="1:26" x14ac:dyDescent="0.3">
      <c r="A142">
        <v>2015</v>
      </c>
      <c r="B142" t="s">
        <v>41</v>
      </c>
      <c r="C142" t="s">
        <v>40</v>
      </c>
      <c r="D142" s="5">
        <v>162.57</v>
      </c>
      <c r="E142" s="3">
        <v>55355</v>
      </c>
      <c r="F142" s="4">
        <v>34679</v>
      </c>
      <c r="G142" s="4">
        <v>11420</v>
      </c>
      <c r="H142" s="5">
        <v>2.33</v>
      </c>
      <c r="I142" s="4">
        <v>22713</v>
      </c>
      <c r="J142" s="4">
        <v>61085</v>
      </c>
      <c r="K142" s="4">
        <v>19018</v>
      </c>
      <c r="L142" s="4">
        <v>-8183</v>
      </c>
      <c r="M142" s="4">
        <v>1912</v>
      </c>
      <c r="N142" s="5">
        <v>2.4491999999999998</v>
      </c>
      <c r="O142" s="5">
        <v>0.37109999999999999</v>
      </c>
      <c r="P142" s="6">
        <v>18.6953</v>
      </c>
      <c r="Q142" s="6">
        <v>11.255800000000001</v>
      </c>
      <c r="R142" s="7">
        <v>14.0777</v>
      </c>
      <c r="S142" s="5">
        <v>20.630500000000001</v>
      </c>
      <c r="T142" s="5">
        <v>0.34920000000000001</v>
      </c>
      <c r="U142" s="5">
        <v>24.9236</v>
      </c>
      <c r="V142" s="4">
        <v>107300</v>
      </c>
      <c r="W142" s="5">
        <v>0.1186</v>
      </c>
      <c r="X142" s="4">
        <f t="shared" si="12"/>
        <v>20676</v>
      </c>
      <c r="Y142" s="4">
        <f t="shared" si="13"/>
        <v>23259</v>
      </c>
      <c r="Z142">
        <f t="shared" si="14"/>
        <v>0</v>
      </c>
    </row>
    <row r="143" spans="1:26" x14ac:dyDescent="0.3">
      <c r="A143">
        <v>2014</v>
      </c>
      <c r="B143" t="s">
        <v>41</v>
      </c>
      <c r="C143" t="s">
        <v>40</v>
      </c>
      <c r="D143" s="5">
        <v>175.46</v>
      </c>
      <c r="E143" s="3">
        <v>55870</v>
      </c>
      <c r="F143" s="4">
        <v>35609</v>
      </c>
      <c r="G143" s="4">
        <v>11704</v>
      </c>
      <c r="H143" s="5">
        <v>2.31</v>
      </c>
      <c r="I143" s="4">
        <v>23896</v>
      </c>
      <c r="J143" s="4">
        <v>55865</v>
      </c>
      <c r="K143" s="4">
        <v>20418</v>
      </c>
      <c r="L143" s="4">
        <v>-9905</v>
      </c>
      <c r="M143" s="4">
        <v>-13611</v>
      </c>
      <c r="N143" s="5">
        <v>1.7319</v>
      </c>
      <c r="O143" s="5">
        <v>0.24440000000000001</v>
      </c>
      <c r="P143" s="6">
        <v>20.950500000000002</v>
      </c>
      <c r="Q143" s="6">
        <v>12.7356</v>
      </c>
      <c r="R143" s="7">
        <v>17.231000000000002</v>
      </c>
      <c r="S143" s="5">
        <v>20.948599999999999</v>
      </c>
      <c r="T143" s="5">
        <v>6.5100000000000005E-2</v>
      </c>
      <c r="U143" s="5">
        <v>28.857399999999998</v>
      </c>
      <c r="V143" s="4">
        <v>106700</v>
      </c>
      <c r="W143" s="5">
        <v>1.6222000000000001</v>
      </c>
      <c r="X143" s="4">
        <f t="shared" si="12"/>
        <v>20261</v>
      </c>
      <c r="Y143" s="4">
        <f t="shared" si="13"/>
        <v>23905</v>
      </c>
      <c r="Z143">
        <f t="shared" si="14"/>
        <v>0</v>
      </c>
    </row>
    <row r="144" spans="1:26" x14ac:dyDescent="0.3">
      <c r="A144">
        <v>2013</v>
      </c>
      <c r="B144" t="s">
        <v>41</v>
      </c>
      <c r="C144" t="s">
        <v>40</v>
      </c>
      <c r="D144" s="5">
        <v>129.02000000000001</v>
      </c>
      <c r="E144" s="3">
        <v>52708</v>
      </c>
      <c r="F144" s="4">
        <v>31521</v>
      </c>
      <c r="G144" s="4">
        <v>9620</v>
      </c>
      <c r="H144" s="5">
        <v>1.89</v>
      </c>
      <c r="I144" s="4">
        <v>20323</v>
      </c>
      <c r="J144" s="4">
        <v>58256</v>
      </c>
      <c r="K144" s="4">
        <v>20776</v>
      </c>
      <c r="L144" s="4">
        <v>-18073</v>
      </c>
      <c r="M144" s="4">
        <v>-5498</v>
      </c>
      <c r="N144" s="5">
        <v>2.3647</v>
      </c>
      <c r="O144" s="5">
        <v>0.23080000000000001</v>
      </c>
      <c r="P144" s="6">
        <v>16.513300000000001</v>
      </c>
      <c r="Q144" s="6">
        <v>10.416</v>
      </c>
      <c r="R144" s="7">
        <v>13.4694</v>
      </c>
      <c r="S144" s="5">
        <v>18.2515</v>
      </c>
      <c r="T144" s="5">
        <v>0.45200000000000001</v>
      </c>
      <c r="U144" s="5">
        <v>22.585899999999999</v>
      </c>
      <c r="V144" s="4">
        <v>107600</v>
      </c>
      <c r="W144" s="5">
        <v>1.4648000000000001</v>
      </c>
      <c r="X144" s="4">
        <f t="shared" si="12"/>
        <v>21187</v>
      </c>
      <c r="Y144" s="4">
        <f t="shared" si="13"/>
        <v>21901</v>
      </c>
      <c r="Z144">
        <f t="shared" si="14"/>
        <v>0</v>
      </c>
    </row>
    <row r="145" spans="1:26" x14ac:dyDescent="0.3">
      <c r="A145">
        <v>2012</v>
      </c>
      <c r="B145" t="s">
        <v>41</v>
      </c>
      <c r="C145" t="s">
        <v>40</v>
      </c>
      <c r="D145" s="5">
        <v>102.61</v>
      </c>
      <c r="E145" s="3">
        <v>53341</v>
      </c>
      <c r="F145" s="4">
        <v>33151</v>
      </c>
      <c r="G145" s="4">
        <v>11005</v>
      </c>
      <c r="H145" s="5">
        <v>2.13</v>
      </c>
      <c r="I145" s="4">
        <v>22160</v>
      </c>
      <c r="J145" s="4">
        <v>51203</v>
      </c>
      <c r="K145" s="4">
        <v>18884</v>
      </c>
      <c r="L145" s="4">
        <v>-14060</v>
      </c>
      <c r="M145" s="4">
        <v>-1408</v>
      </c>
      <c r="N145" s="5">
        <v>2.4312</v>
      </c>
      <c r="O145" s="5">
        <v>0.2626</v>
      </c>
      <c r="P145" s="6">
        <v>21.492899999999999</v>
      </c>
      <c r="Q145" s="6">
        <v>13.0467</v>
      </c>
      <c r="R145" s="7">
        <v>17.104700000000001</v>
      </c>
      <c r="S145" s="5">
        <v>20.631399999999999</v>
      </c>
      <c r="T145" s="5">
        <v>-0.36220000000000002</v>
      </c>
      <c r="U145" s="5">
        <v>31.212800000000001</v>
      </c>
      <c r="V145" s="4">
        <v>105000</v>
      </c>
      <c r="W145" s="5">
        <v>2.0693000000000001</v>
      </c>
      <c r="X145" s="4">
        <f t="shared" si="12"/>
        <v>20190</v>
      </c>
      <c r="Y145" s="4">
        <f t="shared" si="13"/>
        <v>22146</v>
      </c>
      <c r="Z145">
        <f t="shared" si="14"/>
        <v>0</v>
      </c>
    </row>
    <row r="146" spans="1:26" x14ac:dyDescent="0.3">
      <c r="A146">
        <v>2011</v>
      </c>
      <c r="B146" t="s">
        <v>41</v>
      </c>
      <c r="C146" t="s">
        <v>40</v>
      </c>
      <c r="D146" s="5">
        <v>123.48</v>
      </c>
      <c r="E146" s="3">
        <v>53999</v>
      </c>
      <c r="F146" s="4">
        <v>33757</v>
      </c>
      <c r="G146" s="4">
        <v>12942</v>
      </c>
      <c r="H146" s="5">
        <v>2.39</v>
      </c>
      <c r="I146" s="4">
        <v>23541</v>
      </c>
      <c r="J146" s="4">
        <v>45911</v>
      </c>
      <c r="K146" s="4">
        <v>20963</v>
      </c>
      <c r="L146" s="4">
        <v>-10301</v>
      </c>
      <c r="M146" s="4">
        <v>-11100</v>
      </c>
      <c r="N146" s="5">
        <v>2.1509999999999998</v>
      </c>
      <c r="O146" s="5">
        <v>0.15970000000000001</v>
      </c>
      <c r="P146" s="6">
        <v>28.189299999999999</v>
      </c>
      <c r="Q146" s="6">
        <v>18.197700000000001</v>
      </c>
      <c r="R146" s="7">
        <v>24.421199999999999</v>
      </c>
      <c r="S146" s="5">
        <v>23.967099999999999</v>
      </c>
      <c r="T146" s="5">
        <v>-0.13139999999999999</v>
      </c>
      <c r="U146" s="5">
        <v>42.586399999999998</v>
      </c>
      <c r="V146" s="4">
        <v>100100</v>
      </c>
      <c r="W146" s="5">
        <v>3.1568000000000001</v>
      </c>
      <c r="X146" s="4">
        <f t="shared" si="12"/>
        <v>20242</v>
      </c>
      <c r="Y146" s="4">
        <f t="shared" si="13"/>
        <v>20815</v>
      </c>
      <c r="Z146">
        <f t="shared" si="14"/>
        <v>0</v>
      </c>
    </row>
    <row r="147" spans="1:26" x14ac:dyDescent="0.3">
      <c r="A147">
        <v>2010</v>
      </c>
      <c r="B147" t="s">
        <v>41</v>
      </c>
      <c r="C147" t="s">
        <v>40</v>
      </c>
      <c r="D147" s="5">
        <v>117.31</v>
      </c>
      <c r="E147" s="3">
        <v>43623</v>
      </c>
      <c r="F147" s="4">
        <v>28491</v>
      </c>
      <c r="G147" s="4">
        <v>11464</v>
      </c>
      <c r="H147" s="5">
        <v>2.0099999999999998</v>
      </c>
      <c r="I147" s="4">
        <v>20226</v>
      </c>
      <c r="J147" s="4">
        <v>49430</v>
      </c>
      <c r="K147" s="4">
        <v>16692</v>
      </c>
      <c r="L147" s="4">
        <v>-10539</v>
      </c>
      <c r="M147" s="4">
        <v>-4642</v>
      </c>
      <c r="N147" s="5">
        <v>3.3892000000000002</v>
      </c>
      <c r="O147" s="5">
        <v>4.2799999999999998E-2</v>
      </c>
      <c r="P147" s="6">
        <v>23.192399999999999</v>
      </c>
      <c r="Q147" s="6">
        <v>18.1433</v>
      </c>
      <c r="R147" s="7">
        <v>22.257200000000001</v>
      </c>
      <c r="S147" s="5">
        <v>26.279699999999998</v>
      </c>
      <c r="T147" s="5">
        <v>0.83740000000000003</v>
      </c>
      <c r="U147" s="5">
        <v>26.031500000000001</v>
      </c>
      <c r="V147" s="4">
        <v>82500</v>
      </c>
      <c r="W147" s="5">
        <v>1.64</v>
      </c>
      <c r="X147" s="4">
        <f t="shared" si="12"/>
        <v>15132</v>
      </c>
      <c r="Y147" s="4">
        <f t="shared" si="13"/>
        <v>17027</v>
      </c>
      <c r="Z147">
        <f t="shared" si="14"/>
        <v>0</v>
      </c>
    </row>
    <row r="148" spans="1:26" x14ac:dyDescent="0.3">
      <c r="A148">
        <v>2009</v>
      </c>
      <c r="B148" t="s">
        <v>41</v>
      </c>
      <c r="C148" t="s">
        <v>40</v>
      </c>
      <c r="D148" s="5">
        <v>112.65</v>
      </c>
      <c r="E148" s="3">
        <v>35127</v>
      </c>
      <c r="F148" s="4">
        <v>19561</v>
      </c>
      <c r="G148" s="4">
        <v>4369</v>
      </c>
      <c r="H148" s="5">
        <v>0.77</v>
      </c>
      <c r="I148" s="4">
        <v>10763</v>
      </c>
      <c r="J148" s="4">
        <v>41704</v>
      </c>
      <c r="K148" s="4">
        <v>11170</v>
      </c>
      <c r="L148" s="4">
        <v>-7965</v>
      </c>
      <c r="M148" s="4">
        <v>-2568</v>
      </c>
      <c r="N148" s="5">
        <v>2.7871000000000001</v>
      </c>
      <c r="O148" s="5">
        <v>5.33E-2</v>
      </c>
      <c r="P148" s="6">
        <v>10.4762</v>
      </c>
      <c r="Q148" s="6">
        <v>8.2286000000000001</v>
      </c>
      <c r="R148" s="7">
        <v>9.9855999999999998</v>
      </c>
      <c r="S148" s="5">
        <v>12.4377</v>
      </c>
      <c r="T148" s="5">
        <v>1.1789000000000001</v>
      </c>
      <c r="U148" s="5">
        <v>11.718500000000001</v>
      </c>
      <c r="V148" s="4">
        <v>79800</v>
      </c>
      <c r="W148" s="5">
        <v>-0.35549999999999998</v>
      </c>
      <c r="X148" s="4">
        <f t="shared" si="12"/>
        <v>15566</v>
      </c>
      <c r="Y148" s="4">
        <f t="shared" si="13"/>
        <v>15192</v>
      </c>
      <c r="Z148">
        <f t="shared" si="14"/>
        <v>0</v>
      </c>
    </row>
    <row r="149" spans="1:26" x14ac:dyDescent="0.3">
      <c r="A149">
        <v>2022</v>
      </c>
      <c r="B149" t="s">
        <v>42</v>
      </c>
      <c r="C149" t="s">
        <v>43</v>
      </c>
      <c r="D149" s="5">
        <v>856.94</v>
      </c>
      <c r="E149" s="3">
        <v>513983</v>
      </c>
      <c r="F149" s="4">
        <v>225152</v>
      </c>
      <c r="G149" s="4">
        <v>-2722</v>
      </c>
      <c r="H149" s="5">
        <v>-0.27</v>
      </c>
      <c r="I149" s="4">
        <v>54169</v>
      </c>
      <c r="J149" s="4">
        <v>146043</v>
      </c>
      <c r="K149" s="4">
        <v>46752</v>
      </c>
      <c r="L149" s="4">
        <v>-37601</v>
      </c>
      <c r="M149" s="4">
        <v>9718</v>
      </c>
      <c r="N149" s="5">
        <v>0.9446</v>
      </c>
      <c r="O149" s="5">
        <v>0.45979999999999999</v>
      </c>
      <c r="P149" s="6">
        <v>-1.8637999999999999</v>
      </c>
      <c r="Q149" s="6">
        <v>-0.58830000000000005</v>
      </c>
      <c r="R149" s="7">
        <v>-1.2767999999999999</v>
      </c>
      <c r="S149" s="5">
        <v>-0.52959999999999996</v>
      </c>
      <c r="T149" s="5">
        <v>-0.25459999999999999</v>
      </c>
      <c r="U149" s="5">
        <v>-2.1644999999999999</v>
      </c>
      <c r="V149" s="4">
        <v>1541000</v>
      </c>
      <c r="W149" s="5">
        <v>8.0028000000000006</v>
      </c>
      <c r="X149" s="4">
        <f t="shared" si="12"/>
        <v>288831</v>
      </c>
      <c r="Y149" s="4">
        <f t="shared" si="13"/>
        <v>227874</v>
      </c>
      <c r="Z149">
        <f t="shared" si="14"/>
        <v>0</v>
      </c>
    </row>
    <row r="150" spans="1:26" x14ac:dyDescent="0.3">
      <c r="A150">
        <v>2021</v>
      </c>
      <c r="B150" t="s">
        <v>42</v>
      </c>
      <c r="C150" t="s">
        <v>43</v>
      </c>
      <c r="D150" s="5">
        <v>1691</v>
      </c>
      <c r="E150" s="3">
        <v>469822</v>
      </c>
      <c r="F150" s="4">
        <v>197478</v>
      </c>
      <c r="G150" s="4">
        <v>33364</v>
      </c>
      <c r="H150" s="5">
        <v>3.24</v>
      </c>
      <c r="I150" s="4">
        <v>59312</v>
      </c>
      <c r="J150" s="4">
        <v>138245</v>
      </c>
      <c r="K150" s="4">
        <v>46327</v>
      </c>
      <c r="L150" s="4">
        <v>-58154</v>
      </c>
      <c r="M150" s="4">
        <v>6291</v>
      </c>
      <c r="N150" s="5">
        <v>1.1357999999999999</v>
      </c>
      <c r="O150" s="5">
        <v>0.35260000000000002</v>
      </c>
      <c r="P150" s="6">
        <v>24.134</v>
      </c>
      <c r="Q150" s="6">
        <v>7.9333999999999998</v>
      </c>
      <c r="R150" s="7">
        <v>17.8428</v>
      </c>
      <c r="S150" s="5">
        <v>7.1013999999999999</v>
      </c>
      <c r="T150" s="5">
        <v>-3.9226000000000001</v>
      </c>
      <c r="U150" s="5">
        <v>27.152999999999999</v>
      </c>
      <c r="V150" s="4">
        <v>1608000</v>
      </c>
      <c r="W150" s="5">
        <v>4.6978999999999997</v>
      </c>
      <c r="X150" s="4">
        <f t="shared" si="12"/>
        <v>272344</v>
      </c>
      <c r="Y150" s="4">
        <f t="shared" si="13"/>
        <v>164114</v>
      </c>
      <c r="Z150">
        <f t="shared" si="14"/>
        <v>0</v>
      </c>
    </row>
    <row r="151" spans="1:26" x14ac:dyDescent="0.3">
      <c r="A151">
        <v>2020</v>
      </c>
      <c r="B151" t="s">
        <v>42</v>
      </c>
      <c r="C151" t="s">
        <v>43</v>
      </c>
      <c r="D151" s="5">
        <v>1634.16</v>
      </c>
      <c r="E151" s="3">
        <v>386064</v>
      </c>
      <c r="F151" s="4">
        <v>152757</v>
      </c>
      <c r="G151" s="4">
        <v>21331</v>
      </c>
      <c r="H151" s="5">
        <v>2.09</v>
      </c>
      <c r="I151" s="4">
        <v>48079</v>
      </c>
      <c r="J151" s="4">
        <v>93404</v>
      </c>
      <c r="K151" s="4">
        <v>66064</v>
      </c>
      <c r="L151" s="4">
        <v>-59611</v>
      </c>
      <c r="M151" s="4">
        <v>-1104</v>
      </c>
      <c r="N151" s="5">
        <v>1.0502</v>
      </c>
      <c r="O151" s="5">
        <v>0.34060000000000001</v>
      </c>
      <c r="P151" s="6">
        <v>22.837399999999999</v>
      </c>
      <c r="Q151" s="6">
        <v>6.6410999999999998</v>
      </c>
      <c r="R151" s="7">
        <v>17.034800000000001</v>
      </c>
      <c r="S151" s="5">
        <v>5.5251999999999999</v>
      </c>
      <c r="T151" s="5">
        <v>0.4798</v>
      </c>
      <c r="U151" s="5">
        <v>27.212399999999999</v>
      </c>
      <c r="V151" s="4">
        <v>1298000</v>
      </c>
      <c r="W151" s="5">
        <v>1.2336</v>
      </c>
      <c r="X151" s="4">
        <f t="shared" si="12"/>
        <v>233307</v>
      </c>
      <c r="Y151" s="4">
        <f t="shared" si="13"/>
        <v>131426</v>
      </c>
      <c r="Z151">
        <f t="shared" si="14"/>
        <v>0</v>
      </c>
    </row>
    <row r="152" spans="1:26" x14ac:dyDescent="0.3">
      <c r="A152">
        <v>2019</v>
      </c>
      <c r="B152" t="s">
        <v>42</v>
      </c>
      <c r="C152" t="s">
        <v>43</v>
      </c>
      <c r="D152" s="5">
        <v>916.15</v>
      </c>
      <c r="E152" s="3">
        <v>280522</v>
      </c>
      <c r="F152" s="4">
        <v>114986</v>
      </c>
      <c r="G152" s="4">
        <v>11588</v>
      </c>
      <c r="H152" s="5">
        <v>1.1505000000000001</v>
      </c>
      <c r="I152" s="4">
        <v>36330</v>
      </c>
      <c r="J152" s="4">
        <v>62060</v>
      </c>
      <c r="K152" s="4">
        <v>38514</v>
      </c>
      <c r="L152" s="4">
        <v>-24281</v>
      </c>
      <c r="M152" s="4">
        <v>-10066</v>
      </c>
      <c r="N152" s="5">
        <v>1.097</v>
      </c>
      <c r="O152" s="5">
        <v>0.37730000000000002</v>
      </c>
      <c r="P152" s="6">
        <v>18.6723</v>
      </c>
      <c r="Q152" s="6">
        <v>5.1445999999999996</v>
      </c>
      <c r="R152" s="7">
        <v>13.5573</v>
      </c>
      <c r="S152" s="5">
        <v>4.1308999999999996</v>
      </c>
      <c r="T152" s="5">
        <v>0.622</v>
      </c>
      <c r="U152" s="5">
        <v>24.495799999999999</v>
      </c>
      <c r="V152" s="4">
        <v>798000</v>
      </c>
      <c r="W152" s="5">
        <v>1.8122</v>
      </c>
      <c r="X152" s="4">
        <f t="shared" si="12"/>
        <v>165536</v>
      </c>
      <c r="Y152" s="4">
        <f t="shared" si="13"/>
        <v>103398</v>
      </c>
      <c r="Z152">
        <f t="shared" si="14"/>
        <v>0</v>
      </c>
    </row>
    <row r="153" spans="1:26" x14ac:dyDescent="0.3">
      <c r="A153">
        <v>2018</v>
      </c>
      <c r="B153" t="s">
        <v>42</v>
      </c>
      <c r="C153" t="s">
        <v>43</v>
      </c>
      <c r="D153" s="5">
        <v>734.42</v>
      </c>
      <c r="E153" s="3">
        <v>232887</v>
      </c>
      <c r="F153" s="4">
        <v>93731</v>
      </c>
      <c r="G153" s="4">
        <v>10073</v>
      </c>
      <c r="H153" s="5">
        <v>1.0069999999999999</v>
      </c>
      <c r="I153" s="4">
        <v>27762</v>
      </c>
      <c r="J153" s="4">
        <v>43549</v>
      </c>
      <c r="K153" s="4">
        <v>30723</v>
      </c>
      <c r="L153" s="4">
        <v>-12369</v>
      </c>
      <c r="M153" s="4">
        <v>-7686</v>
      </c>
      <c r="N153" s="5">
        <v>1.0981000000000001</v>
      </c>
      <c r="O153" s="5">
        <v>0.53949999999999998</v>
      </c>
      <c r="P153" s="6">
        <v>23.130299999999998</v>
      </c>
      <c r="Q153" s="6">
        <v>6.1931000000000003</v>
      </c>
      <c r="R153" s="7">
        <v>15.0245</v>
      </c>
      <c r="S153" s="5">
        <v>4.3253000000000004</v>
      </c>
      <c r="T153" s="5">
        <v>1.0974999999999999</v>
      </c>
      <c r="U153" s="5">
        <v>34.7333</v>
      </c>
      <c r="V153" s="4">
        <v>647500</v>
      </c>
      <c r="W153" s="5">
        <v>2.4426000000000001</v>
      </c>
      <c r="X153" s="4">
        <f t="shared" si="12"/>
        <v>139156</v>
      </c>
      <c r="Y153" s="4">
        <f t="shared" si="13"/>
        <v>83658</v>
      </c>
      <c r="Z153">
        <f t="shared" si="14"/>
        <v>0</v>
      </c>
    </row>
    <row r="154" spans="1:26" x14ac:dyDescent="0.3">
      <c r="A154">
        <v>2017</v>
      </c>
      <c r="B154" t="s">
        <v>42</v>
      </c>
      <c r="C154" t="s">
        <v>43</v>
      </c>
      <c r="D154" s="5">
        <v>563.54</v>
      </c>
      <c r="E154" s="3">
        <v>177866</v>
      </c>
      <c r="F154" s="4">
        <v>65932</v>
      </c>
      <c r="G154" s="4">
        <v>3033</v>
      </c>
      <c r="H154" s="5">
        <v>0.3075</v>
      </c>
      <c r="I154" s="4">
        <v>15584</v>
      </c>
      <c r="J154" s="4">
        <v>27709</v>
      </c>
      <c r="K154" s="4">
        <v>18365</v>
      </c>
      <c r="L154" s="4">
        <v>-27084</v>
      </c>
      <c r="M154" s="4">
        <v>9928</v>
      </c>
      <c r="N154" s="5">
        <v>1.04</v>
      </c>
      <c r="O154" s="5">
        <v>0.89300000000000002</v>
      </c>
      <c r="P154" s="6">
        <v>10.9459</v>
      </c>
      <c r="Q154" s="6">
        <v>2.3098000000000001</v>
      </c>
      <c r="R154" s="7">
        <v>5.7824</v>
      </c>
      <c r="S154" s="5">
        <v>1.7052</v>
      </c>
      <c r="T154" s="5">
        <v>-0.2387</v>
      </c>
      <c r="U154" s="5">
        <v>21.122599999999998</v>
      </c>
      <c r="V154" s="4">
        <v>566000</v>
      </c>
      <c r="W154" s="5">
        <v>2.1301000000000001</v>
      </c>
      <c r="X154" s="4">
        <f t="shared" si="12"/>
        <v>111934</v>
      </c>
      <c r="Y154" s="4">
        <f t="shared" si="13"/>
        <v>62899</v>
      </c>
      <c r="Z154">
        <f t="shared" si="14"/>
        <v>0</v>
      </c>
    </row>
    <row r="155" spans="1:26" x14ac:dyDescent="0.3">
      <c r="A155">
        <v>2016</v>
      </c>
      <c r="B155" t="s">
        <v>42</v>
      </c>
      <c r="C155" t="s">
        <v>43</v>
      </c>
      <c r="D155" s="5">
        <v>356.31</v>
      </c>
      <c r="E155" s="3">
        <v>135987</v>
      </c>
      <c r="F155" s="4">
        <v>47722</v>
      </c>
      <c r="G155" s="4">
        <v>2371</v>
      </c>
      <c r="H155" s="5">
        <v>0.245</v>
      </c>
      <c r="I155" s="4">
        <v>12302</v>
      </c>
      <c r="J155" s="4">
        <v>19285</v>
      </c>
      <c r="K155" s="4">
        <v>17203</v>
      </c>
      <c r="L155" s="4">
        <v>-9516</v>
      </c>
      <c r="M155" s="4">
        <v>-3716</v>
      </c>
      <c r="N155" s="5">
        <v>1.0448</v>
      </c>
      <c r="O155" s="5">
        <v>0.39900000000000002</v>
      </c>
      <c r="P155" s="6">
        <v>12.294499999999999</v>
      </c>
      <c r="Q155" s="6">
        <v>2.8429000000000002</v>
      </c>
      <c r="R155" s="7">
        <v>8.7882999999999996</v>
      </c>
      <c r="S155" s="5">
        <v>1.7435</v>
      </c>
      <c r="T155" s="5">
        <v>0.30030000000000001</v>
      </c>
      <c r="U155" s="5">
        <v>15.2958</v>
      </c>
      <c r="V155" s="4">
        <v>341400</v>
      </c>
      <c r="W155" s="5">
        <v>1.2616000000000001</v>
      </c>
      <c r="X155" s="4">
        <f t="shared" si="12"/>
        <v>88265</v>
      </c>
      <c r="Y155" s="4">
        <f t="shared" si="13"/>
        <v>45351</v>
      </c>
      <c r="Z155">
        <f t="shared" si="14"/>
        <v>0</v>
      </c>
    </row>
    <row r="156" spans="1:26" x14ac:dyDescent="0.3">
      <c r="A156">
        <v>2015</v>
      </c>
      <c r="B156" t="s">
        <v>42</v>
      </c>
      <c r="C156" t="s">
        <v>43</v>
      </c>
      <c r="D156" s="5">
        <v>316.83</v>
      </c>
      <c r="E156" s="3">
        <v>107006</v>
      </c>
      <c r="F156" s="4">
        <v>35355</v>
      </c>
      <c r="G156" s="4">
        <v>596</v>
      </c>
      <c r="H156" s="5">
        <v>6.25E-2</v>
      </c>
      <c r="I156" s="4">
        <v>8514</v>
      </c>
      <c r="J156" s="4">
        <v>13384</v>
      </c>
      <c r="K156" s="4">
        <v>12039</v>
      </c>
      <c r="L156" s="4">
        <v>-6450</v>
      </c>
      <c r="M156" s="4">
        <v>-3882</v>
      </c>
      <c r="N156" s="5">
        <v>1.0536000000000001</v>
      </c>
      <c r="O156" s="5">
        <v>0.61470000000000002</v>
      </c>
      <c r="P156" s="6">
        <v>4.4531000000000001</v>
      </c>
      <c r="Q156" s="6">
        <v>0.92049999999999998</v>
      </c>
      <c r="R156" s="7">
        <v>2.7578999999999998</v>
      </c>
      <c r="S156" s="5">
        <v>0.55700000000000005</v>
      </c>
      <c r="T156" s="5">
        <v>0.56999999999999995</v>
      </c>
      <c r="U156" s="5">
        <v>6.1921999999999997</v>
      </c>
      <c r="V156" s="4">
        <v>230800</v>
      </c>
      <c r="W156" s="5">
        <v>0.1186</v>
      </c>
      <c r="X156" s="4">
        <f t="shared" si="12"/>
        <v>71651</v>
      </c>
      <c r="Y156" s="4">
        <f t="shared" si="13"/>
        <v>34759</v>
      </c>
      <c r="Z156">
        <f t="shared" si="14"/>
        <v>0</v>
      </c>
    </row>
    <row r="157" spans="1:26" x14ac:dyDescent="0.3">
      <c r="A157">
        <v>2014</v>
      </c>
      <c r="B157" t="s">
        <v>42</v>
      </c>
      <c r="C157" t="s">
        <v>43</v>
      </c>
      <c r="D157" s="5">
        <v>143.69999999999999</v>
      </c>
      <c r="E157" s="3">
        <v>88988</v>
      </c>
      <c r="F157" s="4">
        <v>26236</v>
      </c>
      <c r="G157" s="4">
        <v>-241</v>
      </c>
      <c r="H157" s="5">
        <v>-2.5999999999999999E-2</v>
      </c>
      <c r="I157" s="4">
        <v>4924</v>
      </c>
      <c r="J157" s="4">
        <v>10741</v>
      </c>
      <c r="K157" s="4">
        <v>6842</v>
      </c>
      <c r="L157" s="4">
        <v>-5065</v>
      </c>
      <c r="M157" s="4">
        <v>4432</v>
      </c>
      <c r="N157" s="5">
        <v>1.1153</v>
      </c>
      <c r="O157" s="5">
        <v>0.76949999999999996</v>
      </c>
      <c r="P157" s="6">
        <v>-2.2437</v>
      </c>
      <c r="Q157" s="6">
        <v>-0.44219999999999998</v>
      </c>
      <c r="R157" s="7">
        <v>-1.268</v>
      </c>
      <c r="S157" s="5">
        <v>-0.27079999999999999</v>
      </c>
      <c r="T157" s="5">
        <v>-7.4999999999999997E-3</v>
      </c>
      <c r="U157" s="5">
        <v>-3.2471000000000001</v>
      </c>
      <c r="V157" s="4">
        <v>154100</v>
      </c>
      <c r="W157" s="5">
        <v>1.6222000000000001</v>
      </c>
      <c r="X157" s="4">
        <f t="shared" si="12"/>
        <v>62752</v>
      </c>
      <c r="Y157" s="4">
        <f t="shared" si="13"/>
        <v>26477</v>
      </c>
      <c r="Z157">
        <f t="shared" si="14"/>
        <v>0</v>
      </c>
    </row>
    <row r="158" spans="1:26" x14ac:dyDescent="0.3">
      <c r="A158">
        <v>2013</v>
      </c>
      <c r="B158" t="s">
        <v>42</v>
      </c>
      <c r="C158" t="s">
        <v>43</v>
      </c>
      <c r="D158" s="5">
        <v>182.54</v>
      </c>
      <c r="E158" s="3">
        <v>74452</v>
      </c>
      <c r="F158" s="4">
        <v>20271</v>
      </c>
      <c r="G158" s="4">
        <v>274</v>
      </c>
      <c r="H158" s="5">
        <v>2.9499999999999998E-2</v>
      </c>
      <c r="I158" s="4">
        <v>3998</v>
      </c>
      <c r="J158" s="4">
        <v>9746</v>
      </c>
      <c r="K158" s="4">
        <v>5475</v>
      </c>
      <c r="L158" s="4">
        <v>-4276</v>
      </c>
      <c r="M158" s="4">
        <v>-539</v>
      </c>
      <c r="N158" s="5">
        <v>1.0716000000000001</v>
      </c>
      <c r="O158" s="5">
        <v>0.32740000000000002</v>
      </c>
      <c r="P158" s="6">
        <v>2.8113999999999999</v>
      </c>
      <c r="Q158" s="6">
        <v>0.68230000000000002</v>
      </c>
      <c r="R158" s="7">
        <v>2.1179999999999999</v>
      </c>
      <c r="S158" s="5">
        <v>0.36799999999999999</v>
      </c>
      <c r="T158" s="5">
        <v>0.17480000000000001</v>
      </c>
      <c r="U158" s="5">
        <v>3.8641000000000001</v>
      </c>
      <c r="V158" s="4">
        <v>117300</v>
      </c>
      <c r="W158" s="5">
        <v>1.4648000000000001</v>
      </c>
      <c r="X158" s="4">
        <f t="shared" si="12"/>
        <v>54181</v>
      </c>
      <c r="Y158" s="4">
        <f t="shared" si="13"/>
        <v>19997</v>
      </c>
      <c r="Z158">
        <f t="shared" si="14"/>
        <v>0</v>
      </c>
    </row>
    <row r="159" spans="1:26" x14ac:dyDescent="0.3">
      <c r="A159">
        <v>2012</v>
      </c>
      <c r="B159" t="s">
        <v>42</v>
      </c>
      <c r="C159" t="s">
        <v>43</v>
      </c>
      <c r="D159" s="5">
        <v>113.63</v>
      </c>
      <c r="E159" s="3">
        <v>61093</v>
      </c>
      <c r="F159" s="4">
        <v>15122</v>
      </c>
      <c r="G159" s="4">
        <v>-39</v>
      </c>
      <c r="H159" s="5">
        <v>-4.4999999999999997E-3</v>
      </c>
      <c r="I159" s="4">
        <v>2835</v>
      </c>
      <c r="J159" s="4">
        <v>8192</v>
      </c>
      <c r="K159" s="4">
        <v>4180</v>
      </c>
      <c r="L159" s="4">
        <v>-3595</v>
      </c>
      <c r="M159" s="4">
        <v>2259</v>
      </c>
      <c r="N159" s="5">
        <v>1.1207</v>
      </c>
      <c r="O159" s="5">
        <v>0.3765</v>
      </c>
      <c r="P159" s="6">
        <v>-0.47610000000000002</v>
      </c>
      <c r="Q159" s="6">
        <v>-0.1198</v>
      </c>
      <c r="R159" s="7">
        <v>-0.34589999999999999</v>
      </c>
      <c r="S159" s="5">
        <v>-6.3799999999999996E-2</v>
      </c>
      <c r="T159" s="5">
        <v>-0.18329999999999999</v>
      </c>
      <c r="U159" s="5">
        <v>-0.6915</v>
      </c>
      <c r="V159" s="4">
        <v>88400</v>
      </c>
      <c r="W159" s="5">
        <v>2.0693000000000001</v>
      </c>
      <c r="X159" s="4">
        <f t="shared" si="12"/>
        <v>45971</v>
      </c>
      <c r="Y159" s="4">
        <f t="shared" si="13"/>
        <v>15161</v>
      </c>
      <c r="Z159">
        <f t="shared" si="14"/>
        <v>0</v>
      </c>
    </row>
    <row r="160" spans="1:26" x14ac:dyDescent="0.3">
      <c r="A160">
        <v>2011</v>
      </c>
      <c r="B160" t="s">
        <v>42</v>
      </c>
      <c r="C160" t="s">
        <v>43</v>
      </c>
      <c r="D160" s="5">
        <v>78.72</v>
      </c>
      <c r="E160" s="3">
        <v>48077</v>
      </c>
      <c r="F160" s="4">
        <v>10789</v>
      </c>
      <c r="G160" s="4">
        <v>631</v>
      </c>
      <c r="H160" s="5">
        <v>6.8500000000000005E-2</v>
      </c>
      <c r="I160" s="4">
        <v>1945</v>
      </c>
      <c r="J160" s="4">
        <v>7757</v>
      </c>
      <c r="K160" s="4">
        <v>3903</v>
      </c>
      <c r="L160" s="4">
        <v>-1930</v>
      </c>
      <c r="M160" s="4">
        <v>-482</v>
      </c>
      <c r="N160" s="5">
        <v>1.1740999999999999</v>
      </c>
      <c r="O160" s="5">
        <v>3.2899999999999999E-2</v>
      </c>
      <c r="P160" s="6">
        <v>8.1346000000000007</v>
      </c>
      <c r="Q160" s="6">
        <v>2.4962</v>
      </c>
      <c r="R160" s="7">
        <v>7.8757000000000001</v>
      </c>
      <c r="S160" s="5">
        <v>1.3125</v>
      </c>
      <c r="T160" s="5">
        <v>-4.9000000000000002E-2</v>
      </c>
      <c r="U160" s="5">
        <v>10.8756</v>
      </c>
      <c r="V160" s="4">
        <v>56200</v>
      </c>
      <c r="W160" s="5">
        <v>3.1568000000000001</v>
      </c>
      <c r="X160" s="4">
        <f t="shared" si="12"/>
        <v>37288</v>
      </c>
      <c r="Y160" s="4">
        <f t="shared" si="13"/>
        <v>10158</v>
      </c>
      <c r="Z160">
        <f t="shared" si="14"/>
        <v>0</v>
      </c>
    </row>
    <row r="161" spans="1:26" x14ac:dyDescent="0.3">
      <c r="A161">
        <v>2010</v>
      </c>
      <c r="B161" t="s">
        <v>42</v>
      </c>
      <c r="C161" t="s">
        <v>43</v>
      </c>
      <c r="D161" s="5">
        <v>80.790000000000006</v>
      </c>
      <c r="E161" s="3">
        <v>34204</v>
      </c>
      <c r="F161" s="4">
        <v>7643</v>
      </c>
      <c r="G161" s="4">
        <v>1152</v>
      </c>
      <c r="H161" s="5">
        <v>0.1265</v>
      </c>
      <c r="I161" s="4">
        <v>1974</v>
      </c>
      <c r="J161" s="4">
        <v>6864</v>
      </c>
      <c r="K161" s="4">
        <v>3495</v>
      </c>
      <c r="L161" s="4">
        <v>-3360</v>
      </c>
      <c r="M161" s="4">
        <v>181</v>
      </c>
      <c r="N161" s="5">
        <v>1.3253999999999999</v>
      </c>
      <c r="O161" s="5">
        <v>0.22739999999999999</v>
      </c>
      <c r="P161" s="6">
        <v>16.783200000000001</v>
      </c>
      <c r="Q161" s="6">
        <v>6.1285999999999996</v>
      </c>
      <c r="R161" s="7">
        <v>13.6736</v>
      </c>
      <c r="S161" s="5">
        <v>3.3679999999999999</v>
      </c>
      <c r="T161" s="5">
        <v>-5.4399999999999997E-2</v>
      </c>
      <c r="U161" s="5">
        <v>20.888500000000001</v>
      </c>
      <c r="V161" s="4">
        <v>33700</v>
      </c>
      <c r="W161" s="5">
        <v>1.64</v>
      </c>
      <c r="X161" s="4">
        <f t="shared" si="12"/>
        <v>26561</v>
      </c>
      <c r="Y161" s="4">
        <f t="shared" si="13"/>
        <v>6491</v>
      </c>
      <c r="Z161">
        <f t="shared" si="14"/>
        <v>0</v>
      </c>
    </row>
    <row r="162" spans="1:26" x14ac:dyDescent="0.3">
      <c r="A162">
        <v>2009</v>
      </c>
      <c r="B162" t="s">
        <v>42</v>
      </c>
      <c r="C162" t="s">
        <v>43</v>
      </c>
      <c r="D162" s="5">
        <v>58.24</v>
      </c>
      <c r="E162" s="3">
        <v>24509</v>
      </c>
      <c r="F162" s="4">
        <v>5531</v>
      </c>
      <c r="G162" s="4">
        <v>902</v>
      </c>
      <c r="H162" s="5">
        <v>0.10199999999999999</v>
      </c>
      <c r="I162" s="4">
        <v>1507</v>
      </c>
      <c r="J162" s="4">
        <v>5257</v>
      </c>
      <c r="K162" s="4">
        <v>3293</v>
      </c>
      <c r="L162" s="4">
        <v>-2337</v>
      </c>
      <c r="M162" s="4">
        <v>-280</v>
      </c>
      <c r="N162" s="5">
        <v>1.3304</v>
      </c>
      <c r="O162" s="5">
        <v>0.20069999999999999</v>
      </c>
      <c r="P162" s="6">
        <v>17.158100000000001</v>
      </c>
      <c r="Q162" s="6">
        <v>6.5301</v>
      </c>
      <c r="R162" s="7">
        <v>17.158100000000001</v>
      </c>
      <c r="S162" s="5">
        <v>3.6802999999999999</v>
      </c>
      <c r="T162" s="5">
        <v>0.33029999999999998</v>
      </c>
      <c r="U162" s="5">
        <v>22.421099999999999</v>
      </c>
      <c r="V162" s="4">
        <v>24300</v>
      </c>
      <c r="W162" s="5">
        <v>-0.35549999999999998</v>
      </c>
      <c r="X162" s="4">
        <f t="shared" si="12"/>
        <v>18978</v>
      </c>
      <c r="Y162" s="4">
        <f t="shared" si="13"/>
        <v>4629</v>
      </c>
      <c r="Z162">
        <f t="shared" ref="Z162" si="15">COUNTBLANK(A162:Y162)</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4612-20CB-45D9-8FB6-36FEB34FE53E}">
  <dimension ref="A1:F60"/>
  <sheetViews>
    <sheetView zoomScale="90" zoomScaleNormal="90" workbookViewId="0">
      <selection activeCell="B3" sqref="B3"/>
    </sheetView>
  </sheetViews>
  <sheetFormatPr defaultRowHeight="14.4" x14ac:dyDescent="0.3"/>
  <cols>
    <col min="1" max="1" width="13.77734375" bestFit="1" customWidth="1"/>
    <col min="2" max="2" width="14.21875" bestFit="1" customWidth="1"/>
    <col min="3" max="3" width="16.109375" bestFit="1" customWidth="1"/>
    <col min="4" max="4" width="39.6640625" customWidth="1"/>
    <col min="5" max="5" width="17.77734375" customWidth="1"/>
    <col min="6" max="6" width="12.5546875" bestFit="1" customWidth="1"/>
  </cols>
  <sheetData>
    <row r="1" spans="1:6" x14ac:dyDescent="0.3">
      <c r="A1" s="17" t="s">
        <v>59</v>
      </c>
    </row>
    <row r="2" spans="1:6" x14ac:dyDescent="0.3">
      <c r="A2" s="18" t="s">
        <v>55</v>
      </c>
      <c r="B2" s="21">
        <v>12213878.722000003</v>
      </c>
    </row>
    <row r="3" spans="1:6" x14ac:dyDescent="0.3">
      <c r="A3" s="18" t="s">
        <v>61</v>
      </c>
      <c r="B3" s="21">
        <v>6018737.5630000019</v>
      </c>
    </row>
    <row r="4" spans="1:6" x14ac:dyDescent="0.3">
      <c r="A4" s="18" t="s">
        <v>56</v>
      </c>
      <c r="B4" s="21">
        <v>1976533.7392000002</v>
      </c>
    </row>
    <row r="5" spans="1:6" x14ac:dyDescent="0.3">
      <c r="A5" s="18" t="s">
        <v>63</v>
      </c>
      <c r="B5" s="19">
        <v>13.684963975155277</v>
      </c>
    </row>
    <row r="8" spans="1:6" x14ac:dyDescent="0.3">
      <c r="A8" s="17" t="s">
        <v>59</v>
      </c>
      <c r="E8" s="23" t="s">
        <v>52</v>
      </c>
      <c r="F8" s="23"/>
    </row>
    <row r="9" spans="1:6" x14ac:dyDescent="0.3">
      <c r="A9" s="18" t="s">
        <v>55</v>
      </c>
      <c r="B9" s="21">
        <v>12213878.722000003</v>
      </c>
      <c r="E9" t="s">
        <v>55</v>
      </c>
      <c r="F9" s="21">
        <f>B9</f>
        <v>12213878.722000003</v>
      </c>
    </row>
    <row r="10" spans="1:6" x14ac:dyDescent="0.3">
      <c r="A10" s="18" t="s">
        <v>60</v>
      </c>
      <c r="B10" s="21">
        <v>6195141.1589999981</v>
      </c>
      <c r="E10" t="s">
        <v>60</v>
      </c>
      <c r="F10" s="21">
        <f>-B10</f>
        <v>-6195141.1589999981</v>
      </c>
    </row>
    <row r="11" spans="1:6" x14ac:dyDescent="0.3">
      <c r="A11" s="18" t="s">
        <v>61</v>
      </c>
      <c r="B11" s="21">
        <v>6018737.5630000019</v>
      </c>
      <c r="E11" t="s">
        <v>61</v>
      </c>
      <c r="F11" s="21">
        <f t="shared" ref="F11:F13" si="0">B11</f>
        <v>6018737.5630000019</v>
      </c>
    </row>
    <row r="12" spans="1:6" x14ac:dyDescent="0.3">
      <c r="A12" s="18" t="s">
        <v>62</v>
      </c>
      <c r="B12" s="21">
        <v>4042203.8237999994</v>
      </c>
      <c r="E12" t="s">
        <v>62</v>
      </c>
      <c r="F12" s="21">
        <f>-B12</f>
        <v>-4042203.8237999994</v>
      </c>
    </row>
    <row r="13" spans="1:6" x14ac:dyDescent="0.3">
      <c r="A13" s="18" t="s">
        <v>56</v>
      </c>
      <c r="B13" s="21">
        <v>1976533.7392000002</v>
      </c>
      <c r="E13" t="s">
        <v>56</v>
      </c>
      <c r="F13" s="21">
        <f t="shared" si="0"/>
        <v>1976533.7392000002</v>
      </c>
    </row>
    <row r="16" spans="1:6" x14ac:dyDescent="0.3">
      <c r="A16" s="17" t="s">
        <v>1</v>
      </c>
      <c r="B16" s="20" t="s">
        <v>55</v>
      </c>
      <c r="C16" s="20" t="s">
        <v>56</v>
      </c>
    </row>
    <row r="17" spans="1:3" x14ac:dyDescent="0.3">
      <c r="A17" s="18" t="s">
        <v>39</v>
      </c>
      <c r="B17" s="21">
        <v>142215.70200000002</v>
      </c>
      <c r="C17" s="21">
        <v>33085.743999999999</v>
      </c>
    </row>
    <row r="18" spans="1:3" x14ac:dyDescent="0.3">
      <c r="A18" s="18" t="s">
        <v>27</v>
      </c>
      <c r="B18" s="21">
        <v>148775</v>
      </c>
      <c r="C18" s="21">
        <v>20149</v>
      </c>
    </row>
    <row r="19" spans="1:3" x14ac:dyDescent="0.3">
      <c r="A19" s="18" t="s">
        <v>31</v>
      </c>
      <c r="B19" s="21">
        <v>236237</v>
      </c>
      <c r="C19" s="21">
        <v>-3985</v>
      </c>
    </row>
    <row r="20" spans="1:3" x14ac:dyDescent="0.3">
      <c r="A20" s="18" t="s">
        <v>35</v>
      </c>
      <c r="B20" s="21">
        <v>338030.2</v>
      </c>
      <c r="C20" s="21">
        <v>75619.800000000017</v>
      </c>
    </row>
    <row r="21" spans="1:3" x14ac:dyDescent="0.3">
      <c r="A21" s="18" t="s">
        <v>33</v>
      </c>
      <c r="B21" s="21">
        <v>345587</v>
      </c>
      <c r="C21" s="21">
        <v>-10429</v>
      </c>
    </row>
    <row r="22" spans="1:3" x14ac:dyDescent="0.3">
      <c r="A22" s="18" t="s">
        <v>37</v>
      </c>
      <c r="B22" s="21">
        <v>515288.82</v>
      </c>
      <c r="C22" s="21">
        <v>40250.195199999995</v>
      </c>
    </row>
    <row r="23" spans="1:3" x14ac:dyDescent="0.3">
      <c r="A23" s="18" t="s">
        <v>29</v>
      </c>
      <c r="B23" s="21">
        <v>827454</v>
      </c>
      <c r="C23" s="21">
        <v>41880</v>
      </c>
    </row>
    <row r="24" spans="1:3" x14ac:dyDescent="0.3">
      <c r="A24" s="18" t="s">
        <v>41</v>
      </c>
      <c r="B24" s="21">
        <v>834929</v>
      </c>
      <c r="C24" s="21">
        <v>183323</v>
      </c>
    </row>
    <row r="25" spans="1:3" x14ac:dyDescent="0.3">
      <c r="A25" s="18" t="s">
        <v>26</v>
      </c>
      <c r="B25" s="21">
        <v>1556228</v>
      </c>
      <c r="C25" s="21">
        <v>351687</v>
      </c>
    </row>
    <row r="26" spans="1:3" x14ac:dyDescent="0.3">
      <c r="A26" s="18" t="s">
        <v>25</v>
      </c>
      <c r="B26" s="21">
        <v>1668065</v>
      </c>
      <c r="C26" s="21">
        <v>482077</v>
      </c>
    </row>
    <row r="27" spans="1:3" x14ac:dyDescent="0.3">
      <c r="A27" s="18" t="s">
        <v>42</v>
      </c>
      <c r="B27" s="21">
        <v>2635460</v>
      </c>
      <c r="C27" s="21">
        <v>82313</v>
      </c>
    </row>
    <row r="28" spans="1:3" x14ac:dyDescent="0.3">
      <c r="A28" s="18" t="s">
        <v>23</v>
      </c>
      <c r="B28" s="21">
        <v>2965609</v>
      </c>
      <c r="C28" s="21">
        <v>680563</v>
      </c>
    </row>
    <row r="29" spans="1:3" x14ac:dyDescent="0.3">
      <c r="A29" s="18" t="s">
        <v>54</v>
      </c>
      <c r="B29" s="21">
        <v>12213878.721999999</v>
      </c>
      <c r="C29" s="21">
        <v>1976533.7392</v>
      </c>
    </row>
    <row r="32" spans="1:3" x14ac:dyDescent="0.3">
      <c r="A32" s="17" t="s">
        <v>53</v>
      </c>
      <c r="B32" t="s">
        <v>57</v>
      </c>
      <c r="C32" t="s">
        <v>58</v>
      </c>
    </row>
    <row r="33" spans="1:3" x14ac:dyDescent="0.3">
      <c r="A33" s="18" t="s">
        <v>28</v>
      </c>
      <c r="B33" s="21">
        <v>148775</v>
      </c>
      <c r="C33" s="21">
        <v>20149</v>
      </c>
    </row>
    <row r="34" spans="1:3" x14ac:dyDescent="0.3">
      <c r="A34" s="18" t="s">
        <v>32</v>
      </c>
      <c r="B34" s="21">
        <v>236237</v>
      </c>
      <c r="C34" s="21">
        <v>-3985</v>
      </c>
    </row>
    <row r="35" spans="1:3" x14ac:dyDescent="0.3">
      <c r="A35" s="18" t="s">
        <v>36</v>
      </c>
      <c r="B35" s="21">
        <v>338030.2</v>
      </c>
      <c r="C35" s="21">
        <v>75619.800000000017</v>
      </c>
    </row>
    <row r="36" spans="1:3" x14ac:dyDescent="0.3">
      <c r="A36" s="18" t="s">
        <v>34</v>
      </c>
      <c r="B36" s="21">
        <v>345587</v>
      </c>
      <c r="C36" s="21">
        <v>-10429</v>
      </c>
    </row>
    <row r="37" spans="1:3" x14ac:dyDescent="0.3">
      <c r="A37" s="18" t="s">
        <v>40</v>
      </c>
      <c r="B37" s="21">
        <v>977144.70200000005</v>
      </c>
      <c r="C37" s="21">
        <v>216408.74400000001</v>
      </c>
    </row>
    <row r="38" spans="1:3" x14ac:dyDescent="0.3">
      <c r="A38" s="18" t="s">
        <v>30</v>
      </c>
      <c r="B38" s="21">
        <v>1342742.82</v>
      </c>
      <c r="C38" s="21">
        <v>82130.195200000002</v>
      </c>
    </row>
    <row r="39" spans="1:3" x14ac:dyDescent="0.3">
      <c r="A39" s="18" t="s">
        <v>43</v>
      </c>
      <c r="B39" s="21">
        <v>2635460</v>
      </c>
      <c r="C39" s="21">
        <v>82313</v>
      </c>
    </row>
    <row r="40" spans="1:3" x14ac:dyDescent="0.3">
      <c r="A40" s="18" t="s">
        <v>24</v>
      </c>
      <c r="B40" s="21">
        <v>6189902</v>
      </c>
      <c r="C40" s="21">
        <v>1514327</v>
      </c>
    </row>
    <row r="41" spans="1:3" x14ac:dyDescent="0.3">
      <c r="A41" s="18" t="s">
        <v>54</v>
      </c>
      <c r="B41" s="21">
        <v>12213878.721999999</v>
      </c>
      <c r="C41" s="21">
        <v>1976533.7392000002</v>
      </c>
    </row>
    <row r="44" spans="1:3" x14ac:dyDescent="0.3">
      <c r="A44" s="17" t="s">
        <v>53</v>
      </c>
      <c r="B44" s="21" t="s">
        <v>55</v>
      </c>
      <c r="C44" s="21" t="s">
        <v>56</v>
      </c>
    </row>
    <row r="45" spans="1:3" x14ac:dyDescent="0.3">
      <c r="A45" s="18">
        <v>2009</v>
      </c>
      <c r="B45" s="21">
        <v>392406.59899999999</v>
      </c>
      <c r="C45" s="21">
        <v>33642.828999999998</v>
      </c>
    </row>
    <row r="46" spans="1:3" x14ac:dyDescent="0.3">
      <c r="A46" s="18">
        <v>2010</v>
      </c>
      <c r="B46" s="21">
        <v>441318.11499999999</v>
      </c>
      <c r="C46" s="21">
        <v>69186.42300000001</v>
      </c>
    </row>
    <row r="47" spans="1:3" x14ac:dyDescent="0.3">
      <c r="A47" s="18">
        <v>2011</v>
      </c>
      <c r="B47" s="21">
        <v>520314.12900000002</v>
      </c>
      <c r="C47" s="21">
        <v>105264.226</v>
      </c>
    </row>
    <row r="48" spans="1:3" x14ac:dyDescent="0.3">
      <c r="A48" s="18">
        <v>2012</v>
      </c>
      <c r="B48" s="21">
        <v>596125.99</v>
      </c>
      <c r="C48" s="21">
        <v>85923.801000000007</v>
      </c>
    </row>
    <row r="49" spans="1:3" x14ac:dyDescent="0.3">
      <c r="A49" s="18">
        <v>2013</v>
      </c>
      <c r="B49" s="21">
        <v>631862.549</v>
      </c>
      <c r="C49" s="21">
        <v>97490.992799999993</v>
      </c>
    </row>
    <row r="50" spans="1:3" x14ac:dyDescent="0.3">
      <c r="A50" s="18">
        <v>2014</v>
      </c>
      <c r="B50" s="21">
        <v>679444.45</v>
      </c>
      <c r="C50" s="21">
        <v>100202.02840000001</v>
      </c>
    </row>
    <row r="51" spans="1:3" x14ac:dyDescent="0.3">
      <c r="A51" s="18">
        <v>2015</v>
      </c>
      <c r="B51" s="21">
        <v>749265.16</v>
      </c>
      <c r="C51" s="21">
        <v>100709.90400000001</v>
      </c>
    </row>
    <row r="52" spans="1:3" x14ac:dyDescent="0.3">
      <c r="A52" s="18">
        <v>2016</v>
      </c>
      <c r="B52" s="21">
        <v>757164.44000000006</v>
      </c>
      <c r="C52" s="21">
        <v>106880.63</v>
      </c>
    </row>
    <row r="53" spans="1:3" x14ac:dyDescent="0.3">
      <c r="A53" s="18">
        <v>2017</v>
      </c>
      <c r="B53" s="21">
        <v>836067.15</v>
      </c>
      <c r="C53" s="21">
        <v>98653.226999999999</v>
      </c>
    </row>
    <row r="54" spans="1:3" x14ac:dyDescent="0.3">
      <c r="A54" s="18">
        <v>2018</v>
      </c>
      <c r="B54" s="21">
        <v>971994.23</v>
      </c>
      <c r="C54" s="21">
        <v>143613.011</v>
      </c>
    </row>
    <row r="55" spans="1:3" x14ac:dyDescent="0.3">
      <c r="A55" s="18">
        <v>2019</v>
      </c>
      <c r="B55" s="21">
        <v>1045710.3</v>
      </c>
      <c r="C55" s="21">
        <v>173950.97099999999</v>
      </c>
    </row>
    <row r="56" spans="1:3" x14ac:dyDescent="0.3">
      <c r="A56" s="18">
        <v>2020</v>
      </c>
      <c r="B56" s="21">
        <v>1205720.3400000001</v>
      </c>
      <c r="C56" s="21">
        <v>190587.88399999999</v>
      </c>
    </row>
    <row r="57" spans="1:3" x14ac:dyDescent="0.3">
      <c r="A57" s="18">
        <v>2021</v>
      </c>
      <c r="B57" s="21">
        <v>1508525.5899999999</v>
      </c>
      <c r="C57" s="21">
        <v>319285.46299999999</v>
      </c>
    </row>
    <row r="58" spans="1:3" x14ac:dyDescent="0.3">
      <c r="A58" s="18">
        <v>2022</v>
      </c>
      <c r="B58" s="21">
        <v>1639070.68</v>
      </c>
      <c r="C58" s="21">
        <v>274413.34899999999</v>
      </c>
    </row>
    <row r="59" spans="1:3" x14ac:dyDescent="0.3">
      <c r="A59" s="18">
        <v>2023</v>
      </c>
      <c r="B59" s="21">
        <v>238889</v>
      </c>
      <c r="C59" s="21">
        <v>76729</v>
      </c>
    </row>
    <row r="60" spans="1:3" x14ac:dyDescent="0.3">
      <c r="A60" s="18" t="s">
        <v>54</v>
      </c>
      <c r="B60" s="21">
        <v>12213878.722000001</v>
      </c>
      <c r="C60" s="21">
        <v>1976533.7392</v>
      </c>
    </row>
  </sheetData>
  <mergeCells count="1">
    <mergeCell ref="E8:F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8246D-2B17-48B5-8030-F3040C95703C}">
  <sheetPr>
    <pageSetUpPr fitToPage="1"/>
  </sheetPr>
  <dimension ref="A1:U50"/>
  <sheetViews>
    <sheetView showGridLines="0" tabSelected="1" zoomScale="70" zoomScaleNormal="70" workbookViewId="0">
      <selection activeCell="U6" sqref="U6"/>
    </sheetView>
  </sheetViews>
  <sheetFormatPr defaultColWidth="0" defaultRowHeight="14.4" zeroHeight="1" x14ac:dyDescent="0.3"/>
  <cols>
    <col min="1" max="17" width="8.88671875" customWidth="1"/>
    <col min="18" max="18" width="6.5546875" customWidth="1"/>
    <col min="19" max="21" width="8.88671875" customWidth="1"/>
    <col min="22" max="16384" width="8.88671875" hidden="1"/>
  </cols>
  <sheetData>
    <row r="1" spans="1:21" x14ac:dyDescent="0.3">
      <c r="A1" s="22"/>
      <c r="B1" s="22"/>
      <c r="C1" s="22"/>
      <c r="D1" s="22"/>
      <c r="E1" s="22"/>
      <c r="F1" s="22"/>
      <c r="G1" s="22"/>
      <c r="H1" s="22"/>
      <c r="I1" s="22"/>
      <c r="J1" s="22"/>
      <c r="K1" s="22"/>
      <c r="L1" s="22"/>
      <c r="M1" s="22"/>
      <c r="N1" s="22"/>
      <c r="O1" s="22"/>
      <c r="P1" s="22"/>
      <c r="Q1" s="22"/>
      <c r="R1" s="22"/>
      <c r="S1" s="22"/>
      <c r="T1" s="22"/>
      <c r="U1" s="22"/>
    </row>
    <row r="2" spans="1:21" x14ac:dyDescent="0.3">
      <c r="A2" s="22"/>
      <c r="B2" s="22"/>
      <c r="C2" s="22"/>
      <c r="D2" s="22"/>
      <c r="E2" s="22"/>
      <c r="F2" s="22"/>
      <c r="G2" s="22"/>
      <c r="H2" s="22"/>
      <c r="I2" s="22"/>
      <c r="J2" s="22"/>
      <c r="K2" s="22"/>
      <c r="L2" s="22"/>
      <c r="M2" s="22"/>
      <c r="N2" s="22"/>
      <c r="O2" s="22"/>
      <c r="P2" s="22"/>
      <c r="Q2" s="22"/>
      <c r="R2" s="22"/>
      <c r="S2" s="22"/>
      <c r="T2" s="22"/>
      <c r="U2" s="22"/>
    </row>
    <row r="3" spans="1:21" ht="24" customHeight="1" x14ac:dyDescent="0.3">
      <c r="A3" s="22"/>
      <c r="B3" s="22"/>
      <c r="C3" s="22"/>
      <c r="D3" s="22"/>
      <c r="E3" s="22"/>
      <c r="F3" s="22"/>
      <c r="G3" s="22"/>
      <c r="H3" s="22"/>
      <c r="I3" s="22"/>
      <c r="J3" s="22"/>
      <c r="K3" s="22"/>
      <c r="L3" s="22"/>
      <c r="M3" s="22"/>
      <c r="N3" s="22"/>
      <c r="O3" s="22"/>
      <c r="P3" s="22"/>
      <c r="Q3" s="22"/>
      <c r="R3" s="22"/>
      <c r="S3" s="22"/>
      <c r="T3" s="22"/>
      <c r="U3" s="22"/>
    </row>
    <row r="4" spans="1:21" x14ac:dyDescent="0.3">
      <c r="A4" s="22"/>
      <c r="B4" s="22"/>
      <c r="C4" s="22"/>
      <c r="D4" s="22"/>
      <c r="E4" s="22"/>
      <c r="F4" s="22"/>
      <c r="G4" s="22"/>
      <c r="H4" s="22"/>
      <c r="I4" s="22"/>
      <c r="J4" s="22"/>
      <c r="K4" s="22"/>
      <c r="L4" s="22"/>
      <c r="M4" s="22"/>
      <c r="N4" s="22"/>
      <c r="O4" s="22"/>
      <c r="P4" s="22"/>
      <c r="Q4" s="22"/>
      <c r="R4" s="22"/>
      <c r="S4" s="22"/>
      <c r="T4" s="22"/>
      <c r="U4" s="22"/>
    </row>
    <row r="5" spans="1:21" x14ac:dyDescent="0.3">
      <c r="A5" s="22"/>
      <c r="B5" s="22"/>
      <c r="C5" s="22"/>
      <c r="D5" s="22"/>
      <c r="E5" s="22"/>
      <c r="F5" s="22"/>
      <c r="G5" s="22"/>
      <c r="H5" s="22"/>
      <c r="I5" s="22"/>
      <c r="J5" s="22"/>
      <c r="K5" s="22"/>
      <c r="L5" s="22"/>
      <c r="M5" s="22"/>
      <c r="N5" s="22"/>
      <c r="O5" s="22"/>
      <c r="P5" s="22"/>
      <c r="Q5" s="22"/>
      <c r="R5" s="22"/>
      <c r="S5" s="22"/>
      <c r="T5" s="22"/>
      <c r="U5" s="22"/>
    </row>
    <row r="6" spans="1:21" x14ac:dyDescent="0.3">
      <c r="A6" s="22"/>
      <c r="B6" s="22"/>
      <c r="C6" s="22"/>
      <c r="D6" s="22"/>
      <c r="E6" s="22"/>
      <c r="F6" s="22"/>
      <c r="G6" s="22"/>
      <c r="H6" s="22"/>
      <c r="I6" s="22"/>
      <c r="J6" s="22"/>
      <c r="K6" s="22"/>
      <c r="L6" s="22"/>
      <c r="M6" s="22"/>
      <c r="N6" s="22"/>
      <c r="O6" s="22"/>
      <c r="P6" s="22"/>
      <c r="Q6" s="22"/>
      <c r="R6" s="22"/>
      <c r="S6" s="22"/>
      <c r="T6" s="22"/>
      <c r="U6" s="22"/>
    </row>
    <row r="7" spans="1:21" x14ac:dyDescent="0.3">
      <c r="A7" s="22"/>
      <c r="B7" s="22"/>
      <c r="C7" s="22"/>
      <c r="D7" s="22"/>
      <c r="E7" s="22"/>
      <c r="F7" s="22"/>
      <c r="G7" s="22"/>
      <c r="H7" s="22"/>
      <c r="I7" s="22"/>
      <c r="J7" s="22"/>
      <c r="K7" s="22"/>
      <c r="L7" s="22"/>
      <c r="M7" s="22"/>
      <c r="N7" s="22"/>
      <c r="O7" s="22"/>
      <c r="P7" s="22"/>
      <c r="Q7" s="22"/>
      <c r="R7" s="22"/>
      <c r="S7" s="22"/>
      <c r="T7" s="22"/>
      <c r="U7" s="22"/>
    </row>
    <row r="8" spans="1:21" x14ac:dyDescent="0.3">
      <c r="A8" s="22"/>
      <c r="B8" s="22"/>
      <c r="C8" s="22"/>
      <c r="D8" s="22"/>
      <c r="E8" s="22"/>
      <c r="F8" s="22"/>
      <c r="G8" s="22"/>
      <c r="H8" s="22"/>
      <c r="I8" s="22"/>
      <c r="J8" s="22"/>
      <c r="K8" s="22"/>
      <c r="L8" s="22"/>
      <c r="M8" s="22"/>
      <c r="N8" s="22"/>
      <c r="O8" s="22"/>
      <c r="P8" s="22"/>
      <c r="Q8" s="22"/>
      <c r="R8" s="22"/>
      <c r="S8" s="22"/>
      <c r="T8" s="22"/>
      <c r="U8" s="22"/>
    </row>
    <row r="9" spans="1:21" x14ac:dyDescent="0.3">
      <c r="A9" s="22"/>
      <c r="B9" s="22"/>
      <c r="C9" s="22"/>
      <c r="D9" s="22"/>
      <c r="E9" s="22"/>
      <c r="F9" s="22"/>
      <c r="G9" s="22"/>
      <c r="H9" s="22"/>
      <c r="I9" s="22"/>
      <c r="J9" s="22"/>
      <c r="K9" s="22"/>
      <c r="L9" s="22"/>
      <c r="M9" s="22"/>
      <c r="N9" s="22"/>
      <c r="O9" s="22"/>
      <c r="P9" s="22"/>
      <c r="Q9" s="22"/>
      <c r="R9" s="22"/>
      <c r="S9" s="22"/>
      <c r="T9" s="22"/>
      <c r="U9" s="22"/>
    </row>
    <row r="10" spans="1:21" x14ac:dyDescent="0.3">
      <c r="A10" s="22"/>
      <c r="B10" s="22"/>
      <c r="C10" s="22"/>
      <c r="D10" s="22"/>
      <c r="E10" s="22"/>
      <c r="F10" s="22"/>
      <c r="G10" s="22"/>
      <c r="H10" s="22"/>
      <c r="I10" s="22"/>
      <c r="J10" s="22"/>
      <c r="K10" s="22"/>
      <c r="L10" s="22"/>
      <c r="M10" s="22"/>
      <c r="N10" s="22"/>
      <c r="O10" s="22"/>
      <c r="P10" s="22"/>
      <c r="Q10" s="22"/>
      <c r="R10" s="22"/>
      <c r="S10" s="22"/>
      <c r="T10" s="22"/>
      <c r="U10" s="22"/>
    </row>
    <row r="11" spans="1:21" x14ac:dyDescent="0.3">
      <c r="A11" s="22"/>
      <c r="B11" s="22"/>
      <c r="C11" s="22"/>
      <c r="D11" s="22"/>
      <c r="E11" s="22"/>
      <c r="F11" s="22"/>
      <c r="G11" s="22"/>
      <c r="H11" s="22"/>
      <c r="I11" s="22"/>
      <c r="J11" s="22"/>
      <c r="K11" s="22"/>
      <c r="L11" s="22"/>
      <c r="M11" s="22"/>
      <c r="N11" s="22"/>
      <c r="O11" s="22"/>
      <c r="P11" s="22"/>
      <c r="Q11" s="22"/>
      <c r="R11" s="22"/>
      <c r="S11" s="22"/>
      <c r="T11" s="22"/>
      <c r="U11" s="22"/>
    </row>
    <row r="12" spans="1:21" x14ac:dyDescent="0.3">
      <c r="A12" s="22"/>
      <c r="B12" s="22"/>
      <c r="C12" s="22"/>
      <c r="D12" s="22"/>
      <c r="E12" s="22"/>
      <c r="F12" s="22"/>
      <c r="G12" s="22"/>
      <c r="H12" s="22"/>
      <c r="I12" s="22"/>
      <c r="J12" s="22"/>
      <c r="K12" s="22"/>
      <c r="L12" s="22"/>
      <c r="M12" s="22"/>
      <c r="N12" s="22"/>
      <c r="O12" s="22"/>
      <c r="P12" s="22"/>
      <c r="Q12" s="22"/>
      <c r="R12" s="22"/>
      <c r="S12" s="22"/>
      <c r="T12" s="22"/>
      <c r="U12" s="22"/>
    </row>
    <row r="13" spans="1:21" x14ac:dyDescent="0.3">
      <c r="A13" s="22"/>
      <c r="B13" s="22"/>
      <c r="C13" s="22"/>
      <c r="D13" s="22"/>
      <c r="E13" s="22"/>
      <c r="F13" s="22"/>
      <c r="G13" s="22"/>
      <c r="H13" s="22"/>
      <c r="I13" s="22"/>
      <c r="J13" s="22"/>
      <c r="K13" s="22"/>
      <c r="L13" s="22"/>
      <c r="M13" s="22"/>
      <c r="N13" s="22"/>
      <c r="O13" s="22"/>
      <c r="P13" s="22"/>
      <c r="Q13" s="22"/>
      <c r="R13" s="22"/>
      <c r="S13" s="22"/>
      <c r="T13" s="22"/>
      <c r="U13" s="22"/>
    </row>
    <row r="14" spans="1:21" x14ac:dyDescent="0.3">
      <c r="A14" s="22"/>
      <c r="B14" s="22"/>
      <c r="C14" s="22"/>
      <c r="D14" s="22"/>
      <c r="E14" s="22"/>
      <c r="F14" s="22"/>
      <c r="G14" s="22"/>
      <c r="H14" s="22"/>
      <c r="I14" s="22"/>
      <c r="J14" s="22"/>
      <c r="K14" s="22"/>
      <c r="L14" s="22"/>
      <c r="M14" s="22"/>
      <c r="N14" s="22"/>
      <c r="O14" s="22"/>
      <c r="P14" s="22"/>
      <c r="Q14" s="22"/>
      <c r="R14" s="22"/>
      <c r="S14" s="22"/>
      <c r="T14" s="22"/>
      <c r="U14" s="22"/>
    </row>
    <row r="15" spans="1:21" x14ac:dyDescent="0.3">
      <c r="A15" s="22"/>
      <c r="B15" s="22"/>
      <c r="C15" s="22"/>
      <c r="D15" s="22"/>
      <c r="E15" s="22"/>
      <c r="F15" s="22"/>
      <c r="G15" s="22"/>
      <c r="H15" s="22"/>
      <c r="I15" s="22"/>
      <c r="J15" s="22"/>
      <c r="K15" s="22"/>
      <c r="L15" s="22"/>
      <c r="M15" s="22"/>
      <c r="N15" s="22"/>
      <c r="O15" s="22"/>
      <c r="P15" s="22"/>
      <c r="Q15" s="22"/>
      <c r="R15" s="22"/>
      <c r="S15" s="22"/>
      <c r="T15" s="22"/>
      <c r="U15" s="22"/>
    </row>
    <row r="16" spans="1:21" x14ac:dyDescent="0.3">
      <c r="A16" s="22"/>
      <c r="B16" s="22"/>
      <c r="C16" s="22"/>
      <c r="D16" s="22"/>
      <c r="E16" s="22"/>
      <c r="F16" s="22"/>
      <c r="G16" s="22"/>
      <c r="H16" s="22"/>
      <c r="I16" s="22"/>
      <c r="J16" s="22"/>
      <c r="K16" s="22"/>
      <c r="L16" s="22"/>
      <c r="M16" s="22"/>
      <c r="N16" s="22"/>
      <c r="O16" s="22"/>
      <c r="P16" s="22"/>
      <c r="Q16" s="22"/>
      <c r="R16" s="22"/>
      <c r="S16" s="22"/>
      <c r="T16" s="22"/>
      <c r="U16" s="22"/>
    </row>
    <row r="17" spans="1:21" x14ac:dyDescent="0.3">
      <c r="A17" s="22"/>
      <c r="B17" s="22"/>
      <c r="C17" s="22"/>
      <c r="D17" s="22"/>
      <c r="E17" s="22"/>
      <c r="F17" s="22"/>
      <c r="G17" s="22"/>
      <c r="H17" s="22"/>
      <c r="I17" s="22"/>
      <c r="J17" s="22"/>
      <c r="K17" s="22"/>
      <c r="L17" s="22"/>
      <c r="M17" s="22"/>
      <c r="N17" s="22"/>
      <c r="O17" s="22"/>
      <c r="P17" s="22"/>
      <c r="Q17" s="22"/>
      <c r="R17" s="22"/>
      <c r="S17" s="22"/>
      <c r="T17" s="22"/>
      <c r="U17" s="22"/>
    </row>
    <row r="18" spans="1:21" x14ac:dyDescent="0.3">
      <c r="A18" s="22"/>
      <c r="B18" s="22"/>
      <c r="C18" s="22"/>
      <c r="D18" s="22"/>
      <c r="E18" s="22"/>
      <c r="F18" s="22"/>
      <c r="G18" s="22"/>
      <c r="H18" s="22"/>
      <c r="I18" s="22"/>
      <c r="J18" s="22"/>
      <c r="K18" s="22"/>
      <c r="L18" s="22"/>
      <c r="M18" s="22"/>
      <c r="N18" s="22"/>
      <c r="O18" s="22"/>
      <c r="P18" s="22"/>
      <c r="Q18" s="22"/>
      <c r="R18" s="22"/>
      <c r="S18" s="22"/>
      <c r="T18" s="22"/>
      <c r="U18" s="22"/>
    </row>
    <row r="19" spans="1:21" x14ac:dyDescent="0.3">
      <c r="A19" s="22"/>
      <c r="B19" s="22"/>
      <c r="C19" s="22"/>
      <c r="D19" s="22"/>
      <c r="E19" s="22"/>
      <c r="F19" s="22"/>
      <c r="G19" s="22"/>
      <c r="H19" s="22"/>
      <c r="I19" s="22"/>
      <c r="J19" s="22"/>
      <c r="K19" s="22"/>
      <c r="L19" s="22"/>
      <c r="M19" s="22"/>
      <c r="N19" s="22"/>
      <c r="O19" s="22"/>
      <c r="P19" s="22"/>
      <c r="Q19" s="22"/>
      <c r="R19" s="22"/>
      <c r="S19" s="22"/>
      <c r="T19" s="22"/>
      <c r="U19" s="22"/>
    </row>
    <row r="20" spans="1:21" x14ac:dyDescent="0.3">
      <c r="A20" s="22"/>
      <c r="B20" s="22"/>
      <c r="C20" s="22"/>
      <c r="D20" s="22"/>
      <c r="E20" s="22"/>
      <c r="F20" s="22"/>
      <c r="G20" s="22"/>
      <c r="H20" s="22"/>
      <c r="I20" s="22"/>
      <c r="J20" s="22"/>
      <c r="K20" s="22"/>
      <c r="L20" s="22"/>
      <c r="M20" s="22"/>
      <c r="N20" s="22"/>
      <c r="O20" s="22"/>
      <c r="P20" s="22"/>
      <c r="Q20" s="22"/>
      <c r="R20" s="22"/>
      <c r="S20" s="22"/>
      <c r="T20" s="22"/>
      <c r="U20" s="22"/>
    </row>
    <row r="21" spans="1:21" x14ac:dyDescent="0.3">
      <c r="A21" s="22"/>
      <c r="B21" s="22"/>
      <c r="C21" s="22"/>
      <c r="D21" s="22"/>
      <c r="E21" s="22"/>
      <c r="F21" s="22"/>
      <c r="G21" s="22"/>
      <c r="H21" s="22"/>
      <c r="I21" s="22"/>
      <c r="J21" s="22"/>
      <c r="K21" s="22"/>
      <c r="L21" s="22"/>
      <c r="M21" s="22"/>
      <c r="N21" s="22"/>
      <c r="O21" s="22"/>
      <c r="P21" s="22"/>
      <c r="Q21" s="22"/>
      <c r="R21" s="22"/>
      <c r="S21" s="22"/>
      <c r="T21" s="22"/>
      <c r="U21" s="22"/>
    </row>
    <row r="22" spans="1:21" x14ac:dyDescent="0.3">
      <c r="A22" s="22"/>
      <c r="B22" s="22"/>
      <c r="C22" s="22"/>
      <c r="D22" s="22"/>
      <c r="E22" s="22"/>
      <c r="F22" s="22"/>
      <c r="G22" s="22"/>
      <c r="H22" s="22"/>
      <c r="I22" s="22"/>
      <c r="J22" s="22"/>
      <c r="K22" s="22"/>
      <c r="L22" s="22"/>
      <c r="M22" s="22"/>
      <c r="N22" s="22"/>
      <c r="O22" s="22"/>
      <c r="P22" s="22"/>
      <c r="Q22" s="22"/>
      <c r="R22" s="22"/>
      <c r="S22" s="22"/>
      <c r="T22" s="22"/>
      <c r="U22" s="22"/>
    </row>
    <row r="23" spans="1:21" x14ac:dyDescent="0.3">
      <c r="A23" s="22"/>
      <c r="B23" s="22"/>
      <c r="C23" s="22"/>
      <c r="D23" s="22"/>
      <c r="E23" s="22"/>
      <c r="F23" s="22"/>
      <c r="G23" s="22"/>
      <c r="H23" s="22"/>
      <c r="I23" s="22"/>
      <c r="J23" s="22"/>
      <c r="K23" s="22"/>
      <c r="L23" s="22"/>
      <c r="M23" s="22"/>
      <c r="N23" s="22"/>
      <c r="O23" s="22"/>
      <c r="P23" s="22"/>
      <c r="Q23" s="22"/>
      <c r="R23" s="22"/>
      <c r="S23" s="22"/>
      <c r="T23" s="22"/>
      <c r="U23" s="22"/>
    </row>
    <row r="24" spans="1:21" x14ac:dyDescent="0.3">
      <c r="A24" s="22"/>
      <c r="B24" s="22"/>
      <c r="C24" s="22"/>
      <c r="D24" s="22"/>
      <c r="E24" s="22"/>
      <c r="F24" s="22"/>
      <c r="G24" s="22"/>
      <c r="H24" s="22"/>
      <c r="I24" s="22"/>
      <c r="J24" s="22"/>
      <c r="K24" s="22"/>
      <c r="L24" s="22"/>
      <c r="M24" s="22"/>
      <c r="N24" s="22"/>
      <c r="O24" s="22"/>
      <c r="P24" s="22"/>
      <c r="Q24" s="22"/>
      <c r="R24" s="22"/>
      <c r="S24" s="22"/>
      <c r="T24" s="22"/>
      <c r="U24" s="22"/>
    </row>
    <row r="25" spans="1:21" x14ac:dyDescent="0.3">
      <c r="A25" s="22"/>
      <c r="B25" s="22"/>
      <c r="C25" s="22"/>
      <c r="D25" s="22"/>
      <c r="E25" s="22"/>
      <c r="F25" s="22"/>
      <c r="G25" s="22"/>
      <c r="H25" s="22"/>
      <c r="I25" s="22"/>
      <c r="J25" s="22"/>
      <c r="K25" s="22"/>
      <c r="L25" s="22"/>
      <c r="M25" s="22"/>
      <c r="N25" s="22"/>
      <c r="O25" s="22"/>
      <c r="P25" s="22"/>
      <c r="Q25" s="22"/>
      <c r="R25" s="22"/>
      <c r="S25" s="22"/>
      <c r="T25" s="22"/>
      <c r="U25" s="22"/>
    </row>
    <row r="26" spans="1:21" x14ac:dyDescent="0.3">
      <c r="A26" s="22"/>
      <c r="B26" s="22"/>
      <c r="C26" s="22"/>
      <c r="D26" s="22"/>
      <c r="E26" s="22"/>
      <c r="F26" s="22"/>
      <c r="G26" s="22"/>
      <c r="H26" s="22"/>
      <c r="I26" s="22"/>
      <c r="J26" s="22"/>
      <c r="K26" s="22"/>
      <c r="L26" s="22"/>
      <c r="M26" s="22"/>
      <c r="N26" s="22"/>
      <c r="O26" s="22"/>
      <c r="P26" s="22"/>
      <c r="Q26" s="22"/>
      <c r="R26" s="22"/>
      <c r="S26" s="22"/>
      <c r="T26" s="22"/>
      <c r="U26" s="22"/>
    </row>
    <row r="27" spans="1:21" x14ac:dyDescent="0.3">
      <c r="A27" s="22"/>
      <c r="B27" s="22"/>
      <c r="C27" s="22"/>
      <c r="D27" s="22"/>
      <c r="E27" s="22"/>
      <c r="F27" s="22"/>
      <c r="G27" s="22"/>
      <c r="H27" s="22"/>
      <c r="I27" s="22"/>
      <c r="J27" s="22"/>
      <c r="K27" s="22"/>
      <c r="L27" s="22"/>
      <c r="M27" s="22"/>
      <c r="N27" s="22"/>
      <c r="O27" s="22"/>
      <c r="P27" s="22"/>
      <c r="Q27" s="22"/>
      <c r="R27" s="22"/>
      <c r="S27" s="22"/>
      <c r="T27" s="22"/>
      <c r="U27" s="22"/>
    </row>
    <row r="28" spans="1:21" x14ac:dyDescent="0.3">
      <c r="A28" s="22"/>
      <c r="B28" s="22"/>
      <c r="C28" s="22"/>
      <c r="D28" s="22"/>
      <c r="E28" s="22"/>
      <c r="F28" s="22"/>
      <c r="G28" s="22"/>
      <c r="H28" s="22"/>
      <c r="I28" s="22"/>
      <c r="J28" s="22"/>
      <c r="K28" s="22"/>
      <c r="L28" s="22"/>
      <c r="M28" s="22"/>
      <c r="N28" s="22"/>
      <c r="O28" s="22"/>
      <c r="P28" s="22"/>
      <c r="Q28" s="22"/>
      <c r="R28" s="22"/>
      <c r="S28" s="22"/>
      <c r="T28" s="22"/>
      <c r="U28" s="22"/>
    </row>
    <row r="29" spans="1:21" x14ac:dyDescent="0.3">
      <c r="A29" s="22"/>
      <c r="B29" s="22"/>
      <c r="C29" s="22"/>
      <c r="D29" s="22"/>
      <c r="E29" s="22"/>
      <c r="F29" s="22"/>
      <c r="G29" s="22"/>
      <c r="H29" s="22"/>
      <c r="I29" s="22"/>
      <c r="J29" s="22"/>
      <c r="K29" s="22"/>
      <c r="L29" s="22"/>
      <c r="M29" s="22"/>
      <c r="N29" s="22"/>
      <c r="O29" s="22"/>
      <c r="P29" s="22"/>
      <c r="Q29" s="22"/>
      <c r="R29" s="22"/>
      <c r="S29" s="22"/>
      <c r="T29" s="22"/>
      <c r="U29" s="22"/>
    </row>
    <row r="30" spans="1:21" x14ac:dyDescent="0.3">
      <c r="A30" s="22"/>
      <c r="B30" s="22"/>
      <c r="C30" s="22"/>
      <c r="D30" s="22"/>
      <c r="E30" s="22"/>
      <c r="F30" s="22"/>
      <c r="G30" s="22"/>
      <c r="H30" s="22"/>
      <c r="I30" s="22"/>
      <c r="J30" s="22"/>
      <c r="K30" s="22"/>
      <c r="L30" s="22"/>
      <c r="M30" s="22"/>
      <c r="N30" s="22"/>
      <c r="O30" s="22"/>
      <c r="P30" s="22"/>
      <c r="Q30" s="22"/>
      <c r="R30" s="22"/>
      <c r="S30" s="22"/>
      <c r="T30" s="22"/>
      <c r="U30" s="22"/>
    </row>
    <row r="31" spans="1:21" x14ac:dyDescent="0.3">
      <c r="A31" s="22"/>
      <c r="B31" s="22"/>
      <c r="C31" s="22"/>
      <c r="D31" s="22"/>
      <c r="E31" s="22"/>
      <c r="F31" s="22"/>
      <c r="G31" s="22"/>
      <c r="H31" s="22"/>
      <c r="I31" s="22"/>
      <c r="J31" s="22"/>
      <c r="K31" s="22"/>
      <c r="L31" s="22"/>
      <c r="M31" s="22"/>
      <c r="N31" s="22"/>
      <c r="O31" s="22"/>
      <c r="P31" s="22"/>
      <c r="Q31" s="22"/>
      <c r="R31" s="22"/>
      <c r="S31" s="22"/>
      <c r="T31" s="22"/>
      <c r="U31" s="22"/>
    </row>
    <row r="32" spans="1:21" x14ac:dyDescent="0.3">
      <c r="A32" s="22"/>
      <c r="B32" s="22"/>
      <c r="C32" s="22"/>
      <c r="D32" s="22"/>
      <c r="E32" s="22"/>
      <c r="F32" s="22"/>
      <c r="G32" s="22"/>
      <c r="H32" s="22"/>
      <c r="I32" s="22"/>
      <c r="J32" s="22"/>
      <c r="K32" s="22"/>
      <c r="L32" s="22"/>
      <c r="M32" s="22"/>
      <c r="N32" s="22"/>
      <c r="O32" s="22"/>
      <c r="P32" s="22"/>
      <c r="Q32" s="22"/>
      <c r="R32" s="22"/>
      <c r="S32" s="22"/>
      <c r="T32" s="22"/>
      <c r="U32" s="22"/>
    </row>
    <row r="33" spans="1:21" x14ac:dyDescent="0.3">
      <c r="A33" s="22"/>
      <c r="B33" s="22"/>
      <c r="C33" s="22"/>
      <c r="D33" s="22"/>
      <c r="E33" s="22"/>
      <c r="F33" s="22"/>
      <c r="G33" s="22"/>
      <c r="H33" s="22"/>
      <c r="I33" s="22"/>
      <c r="J33" s="22"/>
      <c r="K33" s="22"/>
      <c r="L33" s="22"/>
      <c r="M33" s="22"/>
      <c r="N33" s="22"/>
      <c r="O33" s="22"/>
      <c r="P33" s="22"/>
      <c r="Q33" s="22"/>
      <c r="R33" s="22"/>
      <c r="S33" s="22"/>
      <c r="T33" s="22"/>
      <c r="U33" s="22"/>
    </row>
    <row r="34" spans="1:21" x14ac:dyDescent="0.3">
      <c r="A34" s="22"/>
      <c r="B34" s="22"/>
      <c r="C34" s="22"/>
      <c r="D34" s="22"/>
      <c r="E34" s="22"/>
      <c r="F34" s="22"/>
      <c r="G34" s="22"/>
      <c r="H34" s="22"/>
      <c r="I34" s="22"/>
      <c r="J34" s="22"/>
      <c r="K34" s="22"/>
      <c r="L34" s="22"/>
      <c r="M34" s="22"/>
      <c r="N34" s="22"/>
      <c r="O34" s="22"/>
      <c r="P34" s="22"/>
      <c r="Q34" s="22"/>
      <c r="R34" s="22"/>
      <c r="S34" s="22"/>
      <c r="T34" s="22"/>
      <c r="U34" s="22"/>
    </row>
    <row r="35" spans="1:21" x14ac:dyDescent="0.3">
      <c r="A35" s="22"/>
      <c r="B35" s="22"/>
      <c r="C35" s="22"/>
      <c r="D35" s="22"/>
      <c r="E35" s="22"/>
      <c r="F35" s="22"/>
      <c r="G35" s="22"/>
      <c r="H35" s="22"/>
      <c r="I35" s="22"/>
      <c r="J35" s="22"/>
      <c r="K35" s="22"/>
      <c r="L35" s="22"/>
      <c r="M35" s="22"/>
      <c r="N35" s="22"/>
      <c r="O35" s="22"/>
      <c r="P35" s="22"/>
      <c r="Q35" s="22"/>
      <c r="R35" s="22"/>
      <c r="S35" s="22"/>
      <c r="T35" s="22"/>
      <c r="U35" s="22"/>
    </row>
    <row r="36" spans="1:21" x14ac:dyDescent="0.3">
      <c r="A36" s="22"/>
      <c r="B36" s="22"/>
      <c r="C36" s="22"/>
      <c r="D36" s="22"/>
      <c r="E36" s="22"/>
      <c r="F36" s="22"/>
      <c r="G36" s="22"/>
      <c r="H36" s="22"/>
      <c r="I36" s="22"/>
      <c r="J36" s="22"/>
      <c r="K36" s="22"/>
      <c r="L36" s="22"/>
      <c r="M36" s="22"/>
      <c r="N36" s="22"/>
      <c r="O36" s="22"/>
      <c r="P36" s="22"/>
      <c r="Q36" s="22"/>
      <c r="R36" s="22"/>
      <c r="S36" s="22"/>
      <c r="T36" s="22"/>
      <c r="U36" s="22"/>
    </row>
    <row r="37" spans="1:21" x14ac:dyDescent="0.3">
      <c r="A37" s="22"/>
      <c r="B37" s="22"/>
      <c r="C37" s="22"/>
      <c r="D37" s="22"/>
      <c r="E37" s="22"/>
      <c r="F37" s="22"/>
      <c r="G37" s="22"/>
      <c r="H37" s="22"/>
      <c r="I37" s="22"/>
      <c r="J37" s="22"/>
      <c r="K37" s="22"/>
      <c r="L37" s="22"/>
      <c r="M37" s="22"/>
      <c r="N37" s="22"/>
      <c r="O37" s="22"/>
      <c r="P37" s="22"/>
      <c r="Q37" s="22"/>
      <c r="R37" s="22"/>
      <c r="S37" s="22"/>
      <c r="T37" s="22"/>
      <c r="U37" s="22"/>
    </row>
    <row r="38" spans="1:21" x14ac:dyDescent="0.3">
      <c r="A38" s="22"/>
      <c r="B38" s="22"/>
      <c r="C38" s="22"/>
      <c r="D38" s="22"/>
      <c r="E38" s="22"/>
      <c r="F38" s="22"/>
      <c r="G38" s="22"/>
      <c r="H38" s="22"/>
      <c r="I38" s="22"/>
      <c r="J38" s="22"/>
      <c r="K38" s="22"/>
      <c r="L38" s="22"/>
      <c r="M38" s="22"/>
      <c r="N38" s="22"/>
      <c r="O38" s="22"/>
      <c r="P38" s="22"/>
      <c r="Q38" s="22"/>
      <c r="R38" s="22"/>
      <c r="S38" s="22"/>
      <c r="T38" s="22"/>
      <c r="U38" s="22"/>
    </row>
    <row r="39" spans="1:21" x14ac:dyDescent="0.3">
      <c r="A39" s="22"/>
      <c r="B39" s="22"/>
      <c r="C39" s="22"/>
      <c r="D39" s="22"/>
      <c r="E39" s="22"/>
      <c r="F39" s="22"/>
      <c r="G39" s="22"/>
      <c r="H39" s="22"/>
      <c r="I39" s="22"/>
      <c r="J39" s="22"/>
      <c r="K39" s="22"/>
      <c r="L39" s="22"/>
      <c r="M39" s="22"/>
      <c r="N39" s="22"/>
      <c r="O39" s="22"/>
      <c r="P39" s="22"/>
      <c r="Q39" s="22"/>
      <c r="R39" s="22"/>
      <c r="S39" s="22"/>
      <c r="T39" s="22"/>
      <c r="U39" s="22"/>
    </row>
    <row r="40" spans="1:21" x14ac:dyDescent="0.3">
      <c r="A40" s="22"/>
      <c r="B40" s="22"/>
      <c r="C40" s="22"/>
      <c r="D40" s="22"/>
      <c r="E40" s="22"/>
      <c r="F40" s="22"/>
      <c r="G40" s="22"/>
      <c r="H40" s="22"/>
      <c r="I40" s="22"/>
      <c r="J40" s="22"/>
      <c r="K40" s="22"/>
      <c r="L40" s="22"/>
      <c r="M40" s="22"/>
      <c r="N40" s="22"/>
      <c r="O40" s="22"/>
      <c r="P40" s="22"/>
      <c r="Q40" s="22"/>
      <c r="R40" s="22"/>
      <c r="S40" s="22"/>
      <c r="T40" s="22"/>
      <c r="U40" s="22"/>
    </row>
    <row r="41" spans="1:21" x14ac:dyDescent="0.3">
      <c r="A41" s="22"/>
      <c r="B41" s="22"/>
      <c r="C41" s="22"/>
      <c r="D41" s="22"/>
      <c r="E41" s="22"/>
      <c r="F41" s="22"/>
      <c r="G41" s="22"/>
      <c r="H41" s="22"/>
      <c r="I41" s="22"/>
      <c r="J41" s="22"/>
      <c r="K41" s="22"/>
      <c r="L41" s="22"/>
      <c r="M41" s="22"/>
      <c r="N41" s="22"/>
      <c r="O41" s="22"/>
      <c r="P41" s="22"/>
      <c r="Q41" s="22"/>
      <c r="R41" s="22"/>
      <c r="S41" s="22"/>
      <c r="T41" s="22"/>
      <c r="U41" s="22"/>
    </row>
    <row r="42" spans="1:21" x14ac:dyDescent="0.3">
      <c r="A42" s="22"/>
      <c r="B42" s="22"/>
      <c r="C42" s="22"/>
      <c r="D42" s="22"/>
      <c r="E42" s="22"/>
      <c r="F42" s="22"/>
      <c r="G42" s="22"/>
      <c r="H42" s="22"/>
      <c r="I42" s="22"/>
      <c r="J42" s="22"/>
      <c r="K42" s="22"/>
      <c r="L42" s="22"/>
      <c r="M42" s="22"/>
      <c r="N42" s="22"/>
      <c r="O42" s="22"/>
      <c r="P42" s="22"/>
      <c r="Q42" s="22"/>
      <c r="R42" s="22"/>
      <c r="S42" s="22"/>
      <c r="T42" s="22"/>
      <c r="U42" s="22"/>
    </row>
    <row r="49" customFormat="1" hidden="1" x14ac:dyDescent="0.3"/>
    <row r="50" customFormat="1" hidden="1" x14ac:dyDescent="0.3"/>
  </sheetData>
  <printOptions horizontalCentered="1" verticalCentered="1"/>
  <pageMargins left="0" right="0" top="0" bottom="0" header="0" footer="0"/>
  <pageSetup paperSize="12" scale="9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Financial Data</vt:lpstr>
      <vt:lpstr>Data Cleaning</vt:lpstr>
      <vt:lpstr>Staging KPI</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syahril badaruddin</cp:lastModifiedBy>
  <cp:lastPrinted>2026-08-27T08:31:49Z</cp:lastPrinted>
  <dcterms:created xsi:type="dcterms:W3CDTF">2026-08-26T06:29:37Z</dcterms:created>
  <dcterms:modified xsi:type="dcterms:W3CDTF">2026-08-28T08:31:38Z</dcterms:modified>
</cp:coreProperties>
</file>